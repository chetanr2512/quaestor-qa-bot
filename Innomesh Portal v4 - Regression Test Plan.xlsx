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Global &amp; Navigation" sheetId="2" r:id="rId5"/>
    <sheet state="visible" name="Dashboard" sheetId="3" r:id="rId6"/>
    <sheet state="visible" name="Alerts (Hotlist)" sheetId="4" r:id="rId7"/>
    <sheet state="visible" name="Incidents (Hotlist)" sheetId="5" r:id="rId8"/>
    <sheet state="visible" name="Vitals" sheetId="6" r:id="rId9"/>
    <sheet state="visible" name="Insights" sheetId="7" r:id="rId10"/>
    <sheet state="visible" name="Assets" sheetId="8" r:id="rId11"/>
    <sheet state="visible" name="Information" sheetId="9" r:id="rId12"/>
    <sheet state="visible" name="Integrations" sheetId="10" r:id="rId13"/>
    <sheet state="visible" name="Rooms" sheetId="11" r:id="rId14"/>
    <sheet state="visible" name="Axis AI" sheetId="12" r:id="rId15"/>
    <sheet state="visible" name="Administration" sheetId="13" r:id="rId16"/>
    <sheet state="visible" name="RBAC &amp; Permissions" sheetId="14" r:id="rId17"/>
    <sheet state="visible" name="RM-Portal Consistency" sheetId="15" r:id="rId18"/>
    <sheet state="visible" name="Non-Functional" sheetId="16" r:id="rId19"/>
    <sheet state="visible" name="Known Issues &amp; Edge Cases" sheetId="17" r:id="rId20"/>
  </sheets>
  <definedNames>
    <definedName hidden="1" localSheetId="1" name="_xlnm._FilterDatabase">'Global &amp; Navigation'!$A$4:$L$39</definedName>
    <definedName hidden="1" localSheetId="2" name="_xlnm._FilterDatabase">Dashboard!$A$4:$L$19</definedName>
    <definedName hidden="1" localSheetId="3" name="_xlnm._FilterDatabase">'Alerts (Hotlist)'!$A$4:$L$52</definedName>
    <definedName hidden="1" localSheetId="4" name="_xlnm._FilterDatabase">'Incidents (Hotlist)'!$A$4:$L$27</definedName>
    <definedName hidden="1" localSheetId="5" name="_xlnm._FilterDatabase">Vitals!$A$4:$L$25</definedName>
    <definedName hidden="1" localSheetId="6" name="_xlnm._FilterDatabase">Insights!$A$4:$L$21</definedName>
    <definedName hidden="1" localSheetId="7" name="_xlnm._FilterDatabase">Assets!$A$4:$L$27</definedName>
    <definedName hidden="1" localSheetId="8" name="_xlnm._FilterDatabase">Information!$A$4:$L$16</definedName>
    <definedName hidden="1" localSheetId="9" name="_xlnm._FilterDatabase">Integrations!$A$4:$L$18</definedName>
    <definedName hidden="1" localSheetId="10" name="_xlnm._FilterDatabase">Rooms!$A$4:$L$25</definedName>
    <definedName hidden="1" localSheetId="11" name="_xlnm._FilterDatabase">'Axis AI'!$A$4:$L$16</definedName>
    <definedName hidden="1" localSheetId="12" name="_xlnm._FilterDatabase">Administration!$A$4:$L$44</definedName>
    <definedName hidden="1" localSheetId="13" name="_xlnm._FilterDatabase">'RBAC &amp; Permissions'!$A$4:$L$23</definedName>
    <definedName hidden="1" localSheetId="14" name="_xlnm._FilterDatabase">'RM-Portal Consistency'!$A$4:$L$27</definedName>
    <definedName hidden="1" localSheetId="15" name="_xlnm._FilterDatabase">'Non-Functional'!$A$4:$L$24</definedName>
    <definedName hidden="1" localSheetId="16" name="_xlnm._FilterDatabase">'Known Issues &amp; Edge Cases'!$A$4:$L$21</definedName>
  </definedNames>
  <calcPr/>
  <extLst>
    <ext uri="GoogleSheetsCustomDataVersion2">
      <go:sheetsCustomData xmlns:go="http://customooxmlschemas.google.com/" r:id="rId21" roundtripDataChecksum="nUbKl18L4ljbxLSAAhxvQk5bMopOFnl/KC7byL6AhwY="/>
    </ext>
  </extLst>
</workbook>
</file>

<file path=xl/sharedStrings.xml><?xml version="1.0" encoding="utf-8"?>
<sst xmlns="http://schemas.openxmlformats.org/spreadsheetml/2006/main" count="4580" uniqueCount="1663">
  <si>
    <t>Innomesh Portal v4 — Regression Test Plan</t>
  </si>
  <si>
    <t>Environment: https://v4-portal.dev.innomate.innomesh.com.au  |  Build: Innomesh v4.0.0  |  Author: Chakrala Sai Charan  |  Created: 10/06/2026 (from live UI exploration)</t>
  </si>
  <si>
    <t>Scope: every actionable item post-login — navigation, dashboards, Hotlist (alerts &amp; incidents), Vitals, Insights, Assets, Information, Integrations, Rooms, Axis AI, Administration, RBAC, NFR, plus live defects &amp; historical edge cases.</t>
  </si>
  <si>
    <t>Module / Sheet</t>
  </si>
  <si>
    <t>Total</t>
  </si>
  <si>
    <t>P1</t>
  </si>
  <si>
    <t>Pass</t>
  </si>
  <si>
    <t>Fail</t>
  </si>
  <si>
    <t>Blocked</t>
  </si>
  <si>
    <t>Not Tested</t>
  </si>
  <si>
    <t>% Executed</t>
  </si>
  <si>
    <t>% Pass (of executed)</t>
  </si>
  <si>
    <t>Global &amp; Navigation</t>
  </si>
  <si>
    <t>Dashboard</t>
  </si>
  <si>
    <t>Alerts (Hotlist)</t>
  </si>
  <si>
    <t>Incidents (Hotlist)</t>
  </si>
  <si>
    <t>Vitals</t>
  </si>
  <si>
    <t>Insights</t>
  </si>
  <si>
    <t>Assets</t>
  </si>
  <si>
    <t>Information</t>
  </si>
  <si>
    <t>Integrations</t>
  </si>
  <si>
    <t>Rooms</t>
  </si>
  <si>
    <t>Axis AI</t>
  </si>
  <si>
    <t>Administration</t>
  </si>
  <si>
    <t>RBAC &amp; Permissions</t>
  </si>
  <si>
    <t>RM-Portal Consistency</t>
  </si>
  <si>
    <t>Non-Functional</t>
  </si>
  <si>
    <t>Known Issues &amp; Edge Cases</t>
  </si>
  <si>
    <t>TOTAL</t>
  </si>
  <si>
    <t>How to use</t>
  </si>
  <si>
    <t>•  Status column has a dropdown: Not Tested / Pass / Fail / Blocked / N/A — colour-coded automatically.</t>
  </si>
  <si>
    <t>•  Priority: P1 = must pass every release (smoke/blocker), P2 = standard regression, P3 = nice-to-verify.</t>
  </si>
  <si>
    <t>•  Type: Smoke (critical path), Regression (feature behaviour), Edge (boundary/unusual), Negative (error handling).</t>
  </si>
  <si>
    <t>•  Automation column marks the intended harness (Playwright / Manual / API). Filter by it when scoping an automation sprint.</t>
  </si>
  <si>
    <t>•  Each sheet has autofilter + frozen header; use the Summary table above for live execution progress.</t>
  </si>
  <si>
    <t>•  'Known Issues &amp; Edge Cases' tracks open dev defects found on 10/06/2026 and historical edge cases — retest these every release.</t>
  </si>
  <si>
    <t>Global &amp; Navigation — Regression Tests</t>
  </si>
  <si>
    <t>Authentication, navigation, top bar, user menu, global chrome</t>
  </si>
  <si>
    <t>Test ID</t>
  </si>
  <si>
    <t>Category</t>
  </si>
  <si>
    <t>Test Case</t>
  </si>
  <si>
    <t>Steps</t>
  </si>
  <si>
    <t>Expected Result</t>
  </si>
  <si>
    <t>Priority</t>
  </si>
  <si>
    <t>Type</t>
  </si>
  <si>
    <t>Automation</t>
  </si>
  <si>
    <t>Status</t>
  </si>
  <si>
    <t>Tested By</t>
  </si>
  <si>
    <t>Date</t>
  </si>
  <si>
    <t>Notes / Defect</t>
  </si>
  <si>
    <t>GLB-001</t>
  </si>
  <si>
    <t>Authentication</t>
  </si>
  <si>
    <t>Google SSO sign-in with corporate account</t>
  </si>
  <si>
    <t>1. Open portal URL in incognito
2. Complete Google authentication with innomate.com.au account</t>
  </si>
  <si>
    <t>User lands on Dashboard; user card (bottom-left) shows correct name and email</t>
  </si>
  <si>
    <t>Smoke</t>
  </si>
  <si>
    <t>Manual</t>
  </si>
  <si>
    <t/>
  </si>
  <si>
    <t>GLB-002</t>
  </si>
  <si>
    <t>Unauthenticated access redirects to login</t>
  </si>
  <si>
    <t>1. Clear cookies / open incognito
2. Navigate directly to /hotlist/alerts/active</t>
  </si>
  <si>
    <t>User is redirected to the Google auth flow; after login user is returned to the requested page (or Dashboard)</t>
  </si>
  <si>
    <t>Regression</t>
  </si>
  <si>
    <t>Playwright</t>
  </si>
  <si>
    <t>GLB-003</t>
  </si>
  <si>
    <t>Sign Out from user menu</t>
  </si>
  <si>
    <t>1. Click user card bottom-left
2. Click Sign Out</t>
  </si>
  <si>
    <t>Session is terminated; user is returned to login; back button does not restore an authenticated session</t>
  </si>
  <si>
    <t>GLB-004</t>
  </si>
  <si>
    <t>Session expiry handling</t>
  </si>
  <si>
    <t>1. Leave the portal idle past token expiry (or invalidate token)
2. Interact with any page</t>
  </si>
  <si>
    <t>User is prompted to re-authenticate gracefully; no infinite spinners or silent empty data</t>
  </si>
  <si>
    <t>P2</t>
  </si>
  <si>
    <t>Edge</t>
  </si>
  <si>
    <t>GLB-005</t>
  </si>
  <si>
    <t>Terms of Service acceptance for first-time user</t>
  </si>
  <si>
    <t>1. Login with a brand-new user account</t>
  </si>
  <si>
    <t>Terms &amp; Privacy popup appears; no page is accessible until accepted; popup does not reappear on next login</t>
  </si>
  <si>
    <t>GLB-006</t>
  </si>
  <si>
    <t>Navigation</t>
  </si>
  <si>
    <t>All sidebar sections render for full-permission user</t>
  </si>
  <si>
    <t>1. Login as admin user
2. Inspect sidebar</t>
  </si>
  <si>
    <t>Sections: Dashboard; Monitoring (Hotlist, Vitals); Analytics (Insights); Management (Assets, Information, Integrations, Rooms); AI (Axis AI); System (Administration)</t>
  </si>
  <si>
    <t>GLB-007</t>
  </si>
  <si>
    <t>Hotlist expands to Alerts and Incidents</t>
  </si>
  <si>
    <t>1. Click Hotlist in sidebar</t>
  </si>
  <si>
    <t>Sub-items Alerts and Incidents appear; clicking each loads the corresponding page and highlights active item</t>
  </si>
  <si>
    <t>GLB-008</t>
  </si>
  <si>
    <t>Vitals expands to all 9 dashboards</t>
  </si>
  <si>
    <t>1. Click Vitals in sidebar</t>
  </si>
  <si>
    <t>Sub-items: Infrastructure, Rooms, Network, Pulse, Sight, VNOC, Pods-2, Pods-3, Pods (custom dashboards reflect tenant config)</t>
  </si>
  <si>
    <t>GLB-009</t>
  </si>
  <si>
    <t>Insights expands to all sub-dashboards</t>
  </si>
  <si>
    <t>1. Click Insights in sidebar</t>
  </si>
  <si>
    <t>Sub-items: Rooms, Usage, Alerts, Proactive Support, Sight, Ops, Consumption, ECU Custom Insight, INPOD (tenant-custom items included)</t>
  </si>
  <si>
    <t>GLB-010</t>
  </si>
  <si>
    <t>Sidebar collapse/expand via hamburger</t>
  </si>
  <si>
    <t>1. Click hamburger icon top-left
2. Click again</t>
  </si>
  <si>
    <t>Sidebar collapses to icons / hides and restores; main content reflows without overlap; state persists across page navigation</t>
  </si>
  <si>
    <t>P3</t>
  </si>
  <si>
    <t>GLB-011</t>
  </si>
  <si>
    <t>Sidebar scrolls independently with all sections expanded</t>
  </si>
  <si>
    <t>1. Expand every collapsible section</t>
  </si>
  <si>
    <t>Sidebar gains its own scrollbar; user card remains pinned at bottom; no items unreachable</t>
  </si>
  <si>
    <t>GLB-012</t>
  </si>
  <si>
    <t>Browser back/forward navigation</t>
  </si>
  <si>
    <t>1. Visit Dashboard &gt; Alerts &gt; an alert detail
2. Press browser Back twice, Forward twice</t>
  </si>
  <si>
    <t>Each step restores the correct page and state; no blank screens or stale data</t>
  </si>
  <si>
    <t>GLB-013</t>
  </si>
  <si>
    <t>Deep-link/refresh on every route</t>
  </si>
  <si>
    <t>1. Copy URL of each module page
2. Open each in a new tab (fresh load)</t>
  </si>
  <si>
    <t>Each route renders its own module after the splash loader. KNOWN ISSUE: /integrations/appspace and /integrations/microsoft-teams-room render the QSC Q-Sys module on direct load</t>
  </si>
  <si>
    <t>GLB-014</t>
  </si>
  <si>
    <t>Top Bar</t>
  </si>
  <si>
    <t>Site selector multi-select filters all data</t>
  </si>
  <si>
    <t>1. Open All Sites dropdown
2. Untick all but one site (e.g. innomateSydney)
3. Visit Dashboard, Alerts, Rooms</t>
  </si>
  <si>
    <t>Dropdown lists All + each site (Inno, innomateSydney, innomateUK, innomateUS). All KPIs/tables/charts re-query and show only the selected site's data; selection persists across pages</t>
  </si>
  <si>
    <t>GLB-015</t>
  </si>
  <si>
    <t>Site selector 'All' checkbox behaviour</t>
  </si>
  <si>
    <t>1. Untick 'All'
2. Tick individual sites; re-tick All</t>
  </si>
  <si>
    <t>'All' toggles every site; individual ticks update 'All' state consistently (indeterminate/checked)</t>
  </si>
  <si>
    <t>GLB-016</t>
  </si>
  <si>
    <t>User Group selector filters all data</t>
  </si>
  <si>
    <t>1. Open All User Groups dropdown
2. Select a specific group (e.g. Demo Group)
3. Visit Alerts / Assets / Rooms</t>
  </si>
  <si>
    <t>Single-select with tick mark; all module data is scoped to that user group; selection persists across navigation</t>
  </si>
  <si>
    <t>GLB-017</t>
  </si>
  <si>
    <t>User Group + Site combined filtering</t>
  </si>
  <si>
    <t>1. Select one site and one user group
2. Check Hotlist counts vs unfiltered</t>
  </si>
  <si>
    <t>Counts reflect the intersection of both filters; no module ignores either filter</t>
  </si>
  <si>
    <t>GLB-018</t>
  </si>
  <si>
    <t>Last Updated timestamp refreshes</t>
  </si>
  <si>
    <t>1. Note 'Last Updated' value
2. Wait for/trigger a data refresh</t>
  </si>
  <si>
    <t>Timestamp updates (dd/mm/yyyy hh:mm:ss format) and matches the most recent data fetch</t>
  </si>
  <si>
    <t>GLB-019</t>
  </si>
  <si>
    <t>Applications grid (waffle) links</t>
  </si>
  <si>
    <t>1. Click grid icon top-right
2. Click each app entry</t>
  </si>
  <si>
    <t>Lists Innomesh Room Manager, Innomesh Portal, Innomesh Documentation; Room Manager and Documentation open the correct external apps; Portal routes to Dashboard</t>
  </si>
  <si>
    <t>GLB-020</t>
  </si>
  <si>
    <t>Dark mode toggle</t>
  </si>
  <si>
    <t>1. Click moon icon
2. Browse Dashboard, Alerts, a detail page, dialogs
3. Toggle back</t>
  </si>
  <si>
    <t>Entire UI switches theme with readable contrast (tables, badges, charts, modals); preference persists after reload</t>
  </si>
  <si>
    <t>GLB-021</t>
  </si>
  <si>
    <t>Notifications bell popover</t>
  </si>
  <si>
    <t>1. Click bell icon</t>
  </si>
  <si>
    <t>Popover shows PROGRESS (n) and ERRORS (n) tabs with operation list or 'No active operations'; CLOSE dismisses; counts update during long-running ops (e.g. export, import)</t>
  </si>
  <si>
    <t>GLB-022</t>
  </si>
  <si>
    <t>Announcements (megaphone) icon</t>
  </si>
  <si>
    <t>1. Click megaphone icon</t>
  </si>
  <si>
    <t>Announcements/what's-new content displays; dismiss works; no console errors</t>
  </si>
  <si>
    <t>GLB-023</t>
  </si>
  <si>
    <t>Help (?) icon</t>
  </si>
  <si>
    <t>1. Click help icon on various pages</t>
  </si>
  <si>
    <t>Context help/documentation opens for the current module</t>
  </si>
  <si>
    <t>GLB-024</t>
  </si>
  <si>
    <t>User Menu</t>
  </si>
  <si>
    <t>User menu contents</t>
  </si>
  <si>
    <t>1. Click user card bottom-left</t>
  </si>
  <si>
    <t>Shows display name + full email, Terms of Service, Privacy Policy, Sign Out entries; Terms/Privacy open the correct documents</t>
  </si>
  <si>
    <t>GLB-025</t>
  </si>
  <si>
    <t>Chat Support</t>
  </si>
  <si>
    <t>Support chat bubble</t>
  </si>
  <si>
    <t>1. Click chat bubble bottom-right
2. Send a test message (dev only)</t>
  </si>
  <si>
    <t>Messenger opens within the page; widget does not overlap critical UI controls at common resolutions</t>
  </si>
  <si>
    <t>GLB-026</t>
  </si>
  <si>
    <t>Loading</t>
  </si>
  <si>
    <t>App splash loader on cold start</t>
  </si>
  <si>
    <t>1. Hard-refresh any page</t>
  </si>
  <si>
    <t>Branded 'innomesh portal / Loading...' splash with version shows, then resolves to the requested route; no flash of unauthenticated content</t>
  </si>
  <si>
    <t>GLB-027</t>
  </si>
  <si>
    <t>Footer</t>
  </si>
  <si>
    <t>Version label</t>
  </si>
  <si>
    <t>1. Check footer on all pages</t>
  </si>
  <si>
    <t>'Innomesh v4.0.0' (current build version) is displayed consistently</t>
  </si>
  <si>
    <t>GLB-028</t>
  </si>
  <si>
    <t>Session timeout dialog (implicit grant, no silent refresh)</t>
  </si>
  <si>
    <t>1. Login; let Cognito access token expire (or fast-forward)
2. Wait for the 30-min expiry check or make a request</t>
  </si>
  <si>
    <t>Auth uses Cognito implicit grant — there is NO refresh token. Expired token triggers session-timeout dialog, clears localStorage tokens, redirects to login. No silent re-auth</t>
  </si>
  <si>
    <t>GLB-029</t>
  </si>
  <si>
    <t>/unauthorized and 404 pages</t>
  </si>
  <si>
    <t>1. Access a permission-blocked route
2. Navigate to a garbage URL</t>
  </si>
  <si>
    <t>Unauthorized page renders for blocked access; NotFound (404) page for unknown routes; both offer a way back</t>
  </si>
  <si>
    <t>GLB-030</t>
  </si>
  <si>
    <t>Deep-link query params parity with v3</t>
  </si>
  <si>
    <t>1. v3 supported /Hotlist?room={room}&amp;asset={asset}&amp;tab={severityIndex}
2. Test v4 equivalents (alert detail param routes /hotlist/alerts/detail/{alertId}/{assetId}/{roomId})</t>
  </si>
  <si>
    <t>Bookmarked v3-style deep links have a v4 equivalent or documented migration; v4 param routes resolve with partial params (alertId only, +assetId, +roomId)</t>
  </si>
  <si>
    <t>GLB-031</t>
  </si>
  <si>
    <t>Help system contextual key per page</t>
  </si>
  <si>
    <t>1. Press ? (or help icon) on Vitals, Hotlist, Admin, Rooms, Insights, Axis AI, Information detail</t>
  </si>
  <si>
    <t>Help content matches page context (help keys portal-vitals, portal-hotlist, portal-admin, portal-rooms, portal-insights, portal-axis-ai, portal-room-information-detail)</t>
  </si>
  <si>
    <t>GLB-032</t>
  </si>
  <si>
    <t>System notices display + hash-based dismissal</t>
  </si>
  <si>
    <t>1. Publish a system notice (backend /notices)
2. Dismiss with 'don't show again'
3. Reload; then publish a CHANGED notice text</t>
  </si>
  <si>
    <t>Notice modal shows on login; dismissal persists in localStorage by content hash; changed notice re-appears (new hash)</t>
  </si>
  <si>
    <t>GLB-033</t>
  </si>
  <si>
    <t>Fullscreen mode per page</t>
  </si>
  <si>
    <t>1. On Vitals and Insights click fullscreen toggle; press Escape
2. Reload page</t>
  </si>
  <si>
    <t>data-fullscreen hides header/footer; Escape exits; preference persists per page key in localStorage (fullscreen_vitals etc.)</t>
  </si>
  <si>
    <t>GLB-034</t>
  </si>
  <si>
    <t>ZenDesk chat gated by permission + config</t>
  </si>
  <si>
    <t>1. Login as user WITH ip-live-chat permission (tenant config enableZenDesk=true)
2. Login as user WITHOUT the permission</t>
  </si>
  <si>
    <t>Chat widget loads only when enableZenDesk config AND LiveChatAccess permission are both present; no script injected otherwise</t>
  </si>
  <si>
    <t>GLB-035</t>
  </si>
  <si>
    <t>Analytics</t>
  </si>
  <si>
    <t>Google Analytics page-view tracking</t>
  </si>
  <si>
    <t>1. With googleAnalyticsId configured, navigate several routes
2. Inspect gtag page_view events</t>
  </si>
  <si>
    <t>GA script loads once; page_view fired per route change with correct page_path; no GA when ID not configured</t>
  </si>
  <si>
    <t>Dashboard — Regression Tests</t>
  </si>
  <si>
    <t>Landing dashboard widgets, KPIs and cross-links</t>
  </si>
  <si>
    <t>DSH-001</t>
  </si>
  <si>
    <t>KPI Cards</t>
  </si>
  <si>
    <t>Five KPI cards render with data</t>
  </si>
  <si>
    <t>1. Open Dashboard
2. Wait for load</t>
  </si>
  <si>
    <t>Cards show Active Alerts, Critical, Rooms Online, Rooms Occupied, Active Incidents with numeric values and coloured top borders; no card remains a skeleton after load completes. KNOWN ISSUE: cards intermittently stuck as skeletons</t>
  </si>
  <si>
    <t>DSH-002</t>
  </si>
  <si>
    <t>KPI values match module pages</t>
  </si>
  <si>
    <t>1. Note Active Alerts and Active Incidents counts
2. Open Hotlist &gt; Alerts (ACTIVE tab) and Incidents (ACTIVE tab)</t>
  </si>
  <si>
    <t>Dashboard counts equal the tab counts on the respective pages (within refresh window)</t>
  </si>
  <si>
    <t>DSH-003</t>
  </si>
  <si>
    <t>Alerts by Severity</t>
  </si>
  <si>
    <t>Donut chart renders and reconciles</t>
  </si>
  <si>
    <t>1. Inspect Alerts by Severity widget</t>
  </si>
  <si>
    <t>Donut shows total active count centred; legend High/Medium/Low segments sum to total; Claimed + Unclaimed footer figures sum to total</t>
  </si>
  <si>
    <t>DSH-004</t>
  </si>
  <si>
    <t>'View Hotlist' link</t>
  </si>
  <si>
    <t>1. Click View Hotlist -&gt;</t>
  </si>
  <si>
    <t>Navigates to /hotlist/alerts/active with no filter loss</t>
  </si>
  <si>
    <t>DSH-005</t>
  </si>
  <si>
    <t>Room Status</t>
  </si>
  <si>
    <t>Room Status donut renders</t>
  </si>
  <si>
    <t>1. Inspect Room Status widget</t>
  </si>
  <si>
    <t>Donut renders; Occupied / Maintenance footer counts match Rooms module figures; 'View Rooms -&gt;' navigates to Rooms</t>
  </si>
  <si>
    <t>DSH-006</t>
  </si>
  <si>
    <t>Active Incidents</t>
  </si>
  <si>
    <t>Incident breakdown widget</t>
  </si>
  <si>
    <t>1. Inspect Active Incidents widget</t>
  </si>
  <si>
    <t>OPEN INCIDENTS total displayed; New / In Progress / On Hold rows sum to the total; 'View Incidents -&gt;' navigates to Incidents page</t>
  </si>
  <si>
    <t>DSH-007</t>
  </si>
  <si>
    <t>Alert Trend</t>
  </si>
  <si>
    <t>7-day alert trend chart</t>
  </si>
  <si>
    <t>1. Inspect Alert Trend widget
2. Toggle legend items (Critical/High/Low/Medium)</t>
  </si>
  <si>
    <t>Chart plots last 7 days with date axis; legend toggles hide/show series; tooltip values on hover are plausible vs alert history</t>
  </si>
  <si>
    <t>DSH-008</t>
  </si>
  <si>
    <t>'View Insights' link</t>
  </si>
  <si>
    <t>1. Click View Insights -&gt;</t>
  </si>
  <si>
    <t>Navigates to Insights &gt; Alerts dashboard</t>
  </si>
  <si>
    <t>DSH-009</t>
  </si>
  <si>
    <t>Top Alerting Rooms</t>
  </si>
  <si>
    <t>Top alerting rooms bar chart</t>
  </si>
  <si>
    <t>1. Inspect Top Alerting Rooms widget</t>
  </si>
  <si>
    <t>Up to 5 rooms with bar + count, sorted descending; counts match per-room alert totals in Hotlist; 'View Rooms -&gt;' works</t>
  </si>
  <si>
    <t>DSH-010</t>
  </si>
  <si>
    <t>Recent Alerts</t>
  </si>
  <si>
    <t>Recent Critical &amp; High Alerts table</t>
  </si>
  <si>
    <t>1. Inspect bottom table</t>
  </si>
  <si>
    <t>Columns Time, Room, Device, Category, Severity, Summary; only CRITICAL/HIGH severities listed, newest first; 'View All -&gt;' opens Hotlist</t>
  </si>
  <si>
    <t>DSH-011</t>
  </si>
  <si>
    <t>Row navigates to alert detail</t>
  </si>
  <si>
    <t>1. Click a row in Recent Critical &amp; High Alerts</t>
  </si>
  <si>
    <t>Opens the alert detail page for that alert</t>
  </si>
  <si>
    <t>DSH-012</t>
  </si>
  <si>
    <t>Refresh</t>
  </si>
  <si>
    <t>Dashboard 'Updated &lt;time&gt;' stamp</t>
  </si>
  <si>
    <t>1. Note Updated stamp top-right
2. Leave page open past refresh interval</t>
  </si>
  <si>
    <t>Widgets re-fetch periodically; Updated stamp advances; no flicker/duplication of widgets</t>
  </si>
  <si>
    <t>DSH-013</t>
  </si>
  <si>
    <t>Filters</t>
  </si>
  <si>
    <t>Dashboard respects Site / User Group selectors</t>
  </si>
  <si>
    <t>1. Select a single site, then a single user group
2. Observe all widgets</t>
  </si>
  <si>
    <t>Every KPI, chart and table re-queries with the filter; totals shrink accordingly; no widget shows unfiltered data</t>
  </si>
  <si>
    <t>DSH-014</t>
  </si>
  <si>
    <t>Empty State</t>
  </si>
  <si>
    <t>Dashboard under a filter with zero data</t>
  </si>
  <si>
    <t>1. Select a site/user-group combination with no rooms</t>
  </si>
  <si>
    <t>Widgets show zero/empty states gracefully (no NaN, no infinite spinners, no errors)</t>
  </si>
  <si>
    <t>DSH-015</t>
  </si>
  <si>
    <t>Permissions</t>
  </si>
  <si>
    <t>Dashboard widgets for restricted user</t>
  </si>
  <si>
    <t>1. Login as user without Hotlist/Rooms permissions</t>
  </si>
  <si>
    <t>Widgets tied to unauthorised modules are hidden or show a permission message; links to unauthorised modules are not offered</t>
  </si>
  <si>
    <t>Alerts (Hotlist) — Regression Tests</t>
  </si>
  <si>
    <t>Hotlist &gt; Alerts: tabs, table, bulk &amp; row actions, saved views, alert detail</t>
  </si>
  <si>
    <t>ALR-001</t>
  </si>
  <si>
    <t>Tabs</t>
  </si>
  <si>
    <t>Active tab loads with count</t>
  </si>
  <si>
    <t>1. Open Hotlist &gt; Alerts</t>
  </si>
  <si>
    <t>ACTIVE tab selected by default with row count badge (e.g. ACTIVE : 3380); table populated; count equals 'N alerts' label on the right</t>
  </si>
  <si>
    <t>ALR-002</t>
  </si>
  <si>
    <t>Resolved / Suppressed / History tabs</t>
  </si>
  <si>
    <t>1. Click each tab</t>
  </si>
  <si>
    <t>URL changes to /hotlist/alerts/{active|resolved|suppressed|history}; per-tab counts appear after lazy load (spinner in tab while counting); table content matches tab</t>
  </si>
  <si>
    <t>ALR-003</t>
  </si>
  <si>
    <t>History capped at 1000</t>
  </si>
  <si>
    <t>1. Open HISTORY tab in a tenancy with &gt;1000 historical alerts</t>
  </si>
  <si>
    <t>Count shows 1000 (cap); pagination works through all pages; export warns/includes capped set consistently</t>
  </si>
  <si>
    <t>ALR-004</t>
  </si>
  <si>
    <t>Suppressed alerts show suppression context</t>
  </si>
  <si>
    <t>1. Open SUPPRESSED tab</t>
  </si>
  <si>
    <t>Rows show SUPPRESSED badge; Owner column shows the suppressing user as a link; suppression correlates to room/asset definition (In Maintenance, Is Portable etc.)</t>
  </si>
  <si>
    <t>ALR-005</t>
  </si>
  <si>
    <t>Table</t>
  </si>
  <si>
    <t>Default sort and column sorting</t>
  </si>
  <si>
    <t>1. Verify default sort (Severity desc)
2. Click each sortable header twice</t>
  </si>
  <si>
    <t>Each column sorts asc/desc with indicator; severity sorts by rank (Critical&gt;High&gt;Medium&gt;Low&gt;Notice) not alphabetically</t>
  </si>
  <si>
    <t>ALR-006</t>
  </si>
  <si>
    <t>Severity badges colour-coded</t>
  </si>
  <si>
    <t>1. Inspect Severity column</t>
  </si>
  <si>
    <t>CRITICAL/HIGH red, MEDIUM orange, LOW yellow, NOTICE grey (per design); colours consistent in dark mode</t>
  </si>
  <si>
    <t>ALR-007</t>
  </si>
  <si>
    <t>Unclaimed owner highlighted</t>
  </si>
  <si>
    <t>1. Inspect Owner column</t>
  </si>
  <si>
    <t>'Unclaimed' renders in red; claimed alerts show owner name</t>
  </si>
  <si>
    <t>ALR-008</t>
  </si>
  <si>
    <t>Pagination controls</t>
  </si>
  <si>
    <t>1. Change Rows per page (15 default)
2. Use first/prev/next/last</t>
  </si>
  <si>
    <t>Page size options apply; 'Showing X to Y of Z entries' accurate; navigation buttons disable at bounds</t>
  </si>
  <si>
    <t>ALR-009</t>
  </si>
  <si>
    <t>Search</t>
  </si>
  <si>
    <t>Search filters across fields</t>
  </si>
  <si>
    <t>1. Type a room name, then an asset name, then a description fragment</t>
  </si>
  <si>
    <t>Result set narrows live (debounced); count label updates; clearing search restores full set</t>
  </si>
  <si>
    <t>ALR-010</t>
  </si>
  <si>
    <t>Search with no matches</t>
  </si>
  <si>
    <t>1. Search a nonsense string</t>
  </si>
  <si>
    <t>Empty state message; 0 alerts; no error</t>
  </si>
  <si>
    <t>Negative</t>
  </si>
  <si>
    <t>ALR-011</t>
  </si>
  <si>
    <t>Saved Views</t>
  </si>
  <si>
    <t>Save View As / Recall View / Delete View</t>
  </si>
  <si>
    <t>1. Apply search + column changes
2. Save icon &gt; Save View As, name it
3. Reset, then Recall View &gt; select it
4. Save icon &gt; Delete View</t>
  </si>
  <si>
    <t>View saved and listed in Recall View dropdown; recalling restores filters/columns; delete removes it (red action with confirm)</t>
  </si>
  <si>
    <t>ALR-012</t>
  </si>
  <si>
    <t>Saved view name collision / special chars</t>
  </si>
  <si>
    <t>1. Save two views with the same name; use emoji/long names</t>
  </si>
  <si>
    <t>Duplicate names rejected or disambiguated; long names truncated gracefully in dropdown</t>
  </si>
  <si>
    <t>ALR-013</t>
  </si>
  <si>
    <t>Columns</t>
  </si>
  <si>
    <t>Column picker toggles</t>
  </si>
  <si>
    <t>1. Open column-settings icon
2. Untick Room; tick Zone and Ticket ID</t>
  </si>
  <si>
    <t>Table updates instantly; choices persist for the session (and within saved views); picker lists Created, Resolved, Severity, Room, Zone, Asset, Category, Owner, Notes, Ticket ID, Description, Status</t>
  </si>
  <si>
    <t>ALR-014</t>
  </si>
  <si>
    <t>Bulk Actions</t>
  </si>
  <si>
    <t>Select-all reveals bulk action bar</t>
  </si>
  <si>
    <t>1. Tick header checkbox</t>
  </si>
  <si>
    <t>Floating bar shows 'N alerts selected' with Claim / Assign / Resolve / Suppress / X(clear); N equals visible selection (current page)</t>
  </si>
  <si>
    <t>ALR-015</t>
  </si>
  <si>
    <t>Bulk Claim</t>
  </si>
  <si>
    <t>1. Select 2+ unclaimed alerts
2. Click Claim</t>
  </si>
  <si>
    <t>Owner becomes current user on all selected; Dashboard Claimed/Unclaimed split updates; audit trail records claim events</t>
  </si>
  <si>
    <t>ALR-016</t>
  </si>
  <si>
    <t>Bulk Assign to another user</t>
  </si>
  <si>
    <t>1. Select alerts &gt; Assign
2. Pick a user</t>
  </si>
  <si>
    <t>Assignee dialog lists portal users; owner updates to chosen user; assignee can see alerts under their name</t>
  </si>
  <si>
    <t>ALR-017</t>
  </si>
  <si>
    <t>Bulk Resolve</t>
  </si>
  <si>
    <t>1. Select alerts &gt; Resolve (confirm)</t>
  </si>
  <si>
    <t>Alerts move to RESOLVED tab; active count decrements; resolve event in alert history with actor + timestamp</t>
  </si>
  <si>
    <t>ALR-018</t>
  </si>
  <si>
    <t>Bulk Suppress</t>
  </si>
  <si>
    <t>1. Select alerts &gt; Suppress (with reason if prompted)</t>
  </si>
  <si>
    <t>Alerts move to SUPPRESSED tab with owner recorded; suppressed alerts no longer raise notifications nor count as active</t>
  </si>
  <si>
    <t>ALR-019</t>
  </si>
  <si>
    <t>Row Actions</t>
  </si>
  <si>
    <t>Row kebab 'Claim Alert'</t>
  </si>
  <si>
    <t>1. Click kebab on an unclaimed active alert
2. Click Claim Alert</t>
  </si>
  <si>
    <t>Alert owner set to current user; kebab options change appropriately for claimed state</t>
  </si>
  <si>
    <t>ALR-020</t>
  </si>
  <si>
    <t>Kebab options on resolved/suppressed alerts</t>
  </si>
  <si>
    <t>1. Open kebab on rows in RESOLVED and SUPPRESSED tabs</t>
  </si>
  <si>
    <t>Only valid lifecycle actions offered (e.g. no Resolve on resolved; Unsuppress available on suppressed if supported)</t>
  </si>
  <si>
    <t>ALR-021</t>
  </si>
  <si>
    <t>Delete</t>
  </si>
  <si>
    <t>Delete (trash) icon behaviour</t>
  </si>
  <si>
    <t>1. Select alerts
2. Click trash icon</t>
  </si>
  <si>
    <t>Confirmation required; deletion is permission-gated; deleted alerts removed from list and recorded in audit logs</t>
  </si>
  <si>
    <t>ALR-022</t>
  </si>
  <si>
    <t>Export</t>
  </si>
  <si>
    <t>Download/export current view</t>
  </si>
  <si>
    <t>1. Apply a filter
2. Click download icon</t>
  </si>
  <si>
    <t>Export (CSV) contains exactly the filtered rows/visible columns; filename meaningful; large exports tracked under bell PROGRESS</t>
  </si>
  <si>
    <t>ALR-023</t>
  </si>
  <si>
    <t>Full History</t>
  </si>
  <si>
    <t>Full History button</t>
  </si>
  <si>
    <t>1. Click 'Full History' top-right</t>
  </si>
  <si>
    <t>Global alert history view opens (all lifecycle events); events are chronologically consistent — no resolve-twice, no resurface-without-resolve</t>
  </si>
  <si>
    <t>ALR-024</t>
  </si>
  <si>
    <t>Detail</t>
  </si>
  <si>
    <t>Row click opens alert detail</t>
  </si>
  <si>
    <t>1. Click an alert row</t>
  </si>
  <si>
    <t>Routes to /hotlist/alerts/detail/{alertId}/{assetId}/{roomId}; breadcrumb Hotlist &gt; room &gt; asset; red banner shows summary + created timestamp; X returns to list</t>
  </si>
  <si>
    <t>ALR-025</t>
  </si>
  <si>
    <t>Information tab panels</t>
  </si>
  <si>
    <t>1. Open detail &gt; Information</t>
  </si>
  <si>
    <t>Alert Details (Severity badge, Category, Claimed By, Current Value, Threshold Value); Asset Details (ID, Name link, Category, Manufacturer, Model, IP link, Hostname); Room Details (Room link, Room ID, Site, Zone, Host, Host IP); Other Information (Notes, User Group, Summary, Ticket ID, TDX #, Reference, MAC, Peripherals, Room Fields). '-' shown for empty values</t>
  </si>
  <si>
    <t>ALR-026</t>
  </si>
  <si>
    <t>Current vs Threshold values live</t>
  </si>
  <si>
    <t>1. Open a threshold-based alert (e.g. lamp hours)
2. Re-check after the metric changes</t>
  </si>
  <si>
    <t>Current Value reflects live data and updates; Threshold Value matches the policy that raised the alert</t>
  </si>
  <si>
    <t>ALR-027</t>
  </si>
  <si>
    <t>Asset Name / IP / Room links</t>
  </si>
  <si>
    <t>1. Click Asset Name link
2. Back; click IP address
3. Back; click Room link</t>
  </si>
  <si>
    <t>Asset link opens asset detail; IP link opens device web UI (new tab); Room link opens room view. KNOWN ISSUE: room link observed as no-op in dev</t>
  </si>
  <si>
    <t>ALR-028</t>
  </si>
  <si>
    <t>History tab event log</t>
  </si>
  <si>
    <t>1. Open detail &gt; History</t>
  </si>
  <si>
    <t>Table: Timestamp, Alert ID, Event, Severity, Category, Owner, Notes, Diagnosis; events populated and in valid lifecycle order; VNOC-acknowledged alerts show ACK with hover notes</t>
  </si>
  <si>
    <t>ALR-029</t>
  </si>
  <si>
    <t>Notes tab — save alert note</t>
  </si>
  <si>
    <t>1. Open detail &gt; Notes
2. Type an alert note
3. Save</t>
  </si>
  <si>
    <t>Save disabled until text entered; note persists after reload; note appears in alert history and Notes column in list</t>
  </si>
  <si>
    <t>ALR-030</t>
  </si>
  <si>
    <t>Asset Notes panel</t>
  </si>
  <si>
    <t>1. On Notes tab inspect Asset Notes</t>
  </si>
  <si>
    <t>Asset-level notes load (separate fetch); editable per permissions; persist against the asset across alerts</t>
  </si>
  <si>
    <t>ALR-031</t>
  </si>
  <si>
    <t>Lifecycle</t>
  </si>
  <si>
    <t>Alert resolve via fixing root cause</t>
  </si>
  <si>
    <t>1. Take an endpoint offline to raise 'Endpoint Responding' alert
2. Restore the endpoint</t>
  </si>
  <si>
    <t>Alert auto-resolves; appears in RESOLVED with resolution timestamp; ServiceNow auto-incident (if enabled) resolves ~15 min later</t>
  </si>
  <si>
    <t>ALR-032</t>
  </si>
  <si>
    <t>New alert appears without manual refresh</t>
  </si>
  <si>
    <t>1. Keep ACTIVE tab open
2. Trigger a new alert in the environment</t>
  </si>
  <si>
    <t>New alert appears (poll/refresh interval) without full page reload; Last Updated advances</t>
  </si>
  <si>
    <t>ALR-033</t>
  </si>
  <si>
    <t>Hotlist hidden without permission</t>
  </si>
  <si>
    <t>1. Login as user without Hotlist access</t>
  </si>
  <si>
    <t>Hotlist nav item not shown; direct URL access blocked/redirected with message</t>
  </si>
  <si>
    <t>ALR-034</t>
  </si>
  <si>
    <t>Data Integrity</t>
  </si>
  <si>
    <t>No cross-tenant data</t>
  </si>
  <si>
    <t>1. Compare alert rooms/assets against tenancy inventory</t>
  </si>
  <si>
    <t>Every alert references a room/asset belonging to the current tenant; no foreign tenant names appear</t>
  </si>
  <si>
    <t>ALR-035</t>
  </si>
  <si>
    <t>Purge</t>
  </si>
  <si>
    <t>Purge alerts dialog (permanent delete)</t>
  </si>
  <si>
    <t>1. Open purge dialog (requires manage permission)
2. Pick date range From/To + severity checkboxes (Critical/High/Medium/Low/Info)
3. Confirm with warning</t>
  </si>
  <si>
    <t>Only alerts matching range+severities are permanently purged (POST /alerts/purge); warning states irreversibility; audit logged</t>
  </si>
  <si>
    <t>ALR-036</t>
  </si>
  <si>
    <t>Ticketing</t>
  </si>
  <si>
    <t>Create ServiceNow ticket from alert</t>
  </si>
  <si>
    <t>1. On an alert (tenant with ticketing=true) open Create Ticket
2. Verify fields: Impact (1-3), Urgency (1-3); Short Description/Description pre-populated from alert
3. Submit</t>
  </si>
  <si>
    <t>Ticket created in ServiceNow, INC link shown on alert; AssignedTo / BusinessService / ConfigurationItem dropdowns appear ONLY when feature flags enableAssignedTo/enableBusinessService/enableConfigurationItem are on</t>
  </si>
  <si>
    <t>ALR-037</t>
  </si>
  <si>
    <t>Ticket lifecycle: update / resolve / disassociate / reopen</t>
  </si>
  <si>
    <t>1. On an alert with a linked ticket: update fields; resolve with resolution code + notes; disassociate; reopen</t>
  </si>
  <si>
    <t>Each operation hits ServiceNow and updates the alert's ticket panel state; resolve requires resolution code; disassociate breaks the link without deleting the SN ticket</t>
  </si>
  <si>
    <t>ALR-038</t>
  </si>
  <si>
    <t>TDX ticket creation (tenant-flagged)</t>
  </si>
  <si>
    <t>1. On a tenant with alertConfig.tdx=true open Create TDX ticket
2. Submit</t>
  </si>
  <si>
    <t>TDX ticket created via the v1 backend path (/v1/tdx/ticket); TDX option hidden when flag is false</t>
  </si>
  <si>
    <t>ALR-039</t>
  </si>
  <si>
    <t>Custom alert notification (service request)</t>
  </si>
  <si>
    <t>1. Tenant with custom_alert_notification=true: open the custom action (labelled per custom_alert_notification_label)
2. Submit</t>
  </si>
  <si>
    <t>Custom notification fires (POST /alert/custom_notification); action only visible when flag enabled; label matches tenant config</t>
  </si>
  <si>
    <t>ALR-040</t>
  </si>
  <si>
    <t>ServiceNow ACK on alert (v3 parity)</t>
  </si>
  <si>
    <t>1. Acknowledge an alert via the VNOC/ServiceNow ack flow
2. Hover/inspect ack indicator</t>
  </si>
  <si>
    <t>alert.ack=true shows ACK badge; ack_notes visible on hover; ACK is distinct from Claim. PARITY CHECK: verify v4 implements the v3 servicenow-ack-dialog</t>
  </si>
  <si>
    <t>ALR-041</t>
  </si>
  <si>
    <t>SLA exclusion flag (non_sla)</t>
  </si>
  <si>
    <t>1. Toggle SLA flag on an alert (POST /alert/{id}/sla?non_sla=true)
2. Check SLA metrics in Insights/Proactive Support</t>
  </si>
  <si>
    <t>non_sla alerts excluded from SLA/MTTR calculations; flag visible on alert; toggle permission-gated</t>
  </si>
  <si>
    <t>ALR-042</t>
  </si>
  <si>
    <t>Suppression</t>
  </si>
  <si>
    <t>Ignore rules: room-level vs asset-level with expiry</t>
  </si>
  <si>
    <t>1. Suppress at ROOM level; verify all room's alerts suppressed
2. Suppress one ASSET; verify only that asset suppressed
3. Set ignore_until date; advance past it</t>
  </si>
  <si>
    <t>Two-level model (/ignorelist/room vs /ignorelist/asset); ignore_until date-based rules auto-expire and alerting resumes; rules listed and deletable in suppressed view</t>
  </si>
  <si>
    <t>ALR-043</t>
  </si>
  <si>
    <t>Severity-level view permissions</t>
  </si>
  <si>
    <t>1. Create role with only ip-hotlist-alerts-medium + ip-hotlist-alerts-low (no critical/high/notice/suppressed)
2. Login and view alerts</t>
  </si>
  <si>
    <t>Only Medium/Low alerts visible (severity-gated rows/tabs); Suppressed tab requires ip-hotlist-alerts-suppressed; counts reflect visible severities only</t>
  </si>
  <si>
    <t>ALR-044</t>
  </si>
  <si>
    <t>Availability indicator on alert rows</t>
  </si>
  <si>
    <t>1. Enable availability column
2. Compare a room with a meeting in progress vs free room</t>
  </si>
  <si>
    <t>Indicator shows free/busy/upcoming state sourced from room availability data; correct colours; tooltip explains state</t>
  </si>
  <si>
    <t>ALR-045</t>
  </si>
  <si>
    <t>Column width/visibility persistence</t>
  </si>
  <si>
    <t>1. Resize columns + hide some; reload page
2. Check localStorage alerts-column-widths</t>
  </si>
  <si>
    <t>Widths and visibility persist per table across sessions (localStorage); reset works; CSV export honours configured CSVHeaders from uiSettings</t>
  </si>
  <si>
    <t>ALR-046</t>
  </si>
  <si>
    <t>Real-time</t>
  </si>
  <si>
    <t>WebSocket live updates + 30s refresh</t>
  </si>
  <si>
    <t>1. Keep Active tab open; raise a new alert
2. Kill the WS connection (devtools) and observe</t>
  </si>
  <si>
    <t>New alerts appear via WebSocket without reload; fallback polling every 30s (HOTLIST_REFRESH_INTERVAL); WS reconnects with backoff (v3: 3s-&gt;60s, max 20 attempts) — verify v4 reconnect strategy</t>
  </si>
  <si>
    <t>ALR-047</t>
  </si>
  <si>
    <t>History</t>
  </si>
  <si>
    <t>Global alert history page (event-level)</t>
  </si>
  <si>
    <t>1. Open /hotlist/alerts/history-all
2. Verify events for: claim/unclaim, assign, suppress, resolve, ticket created, notes updated, ack</t>
  </si>
  <si>
    <t>Event-level audit across all rooms (not just current state); filterable incl. by user group (v3 had a defect here); chronological integrity</t>
  </si>
  <si>
    <t>ALR-048</t>
  </si>
  <si>
    <t>AI</t>
  </si>
  <si>
    <t>Alert AI diagnosis (v3 parity gap)</t>
  </si>
  <si>
    <t>1. v3 offered session-based AI diagnosis on Pulse alerts (/alerts/{id}/ai/query, /ai/diagnosis)
2. Check v4 alert detail for equivalent</t>
  </si>
  <si>
    <t>PARITY CHECK: confirm whether alert-level AI diagnosis exists in v4 (vs Axis AI page only); if dropped, document as accepted delta</t>
  </si>
  <si>
    <t>Incidents (Hotlist) — Regression Tests</t>
  </si>
  <si>
    <t>Hotlist &gt; Incidents: lifecycle, create wizard, ServiceNow sync, rules</t>
  </si>
  <si>
    <t>INC-001</t>
  </si>
  <si>
    <t>Tab counts and content</t>
  </si>
  <si>
    <t>1. Open Hotlist &gt; Incidents
2. Click ACTIVE / RESOLVED / ON HOLD / HISTORY</t>
  </si>
  <si>
    <t>Counts per tab (e.g. ACTIVE : 228); URL updates per tab; rows match the state shown</t>
  </si>
  <si>
    <t>INC-002</t>
  </si>
  <si>
    <t>Trend</t>
  </si>
  <si>
    <t>SHOW TREND collapsible</t>
  </si>
  <si>
    <t>1. Click SHOW TREND</t>
  </si>
  <si>
    <t>Incident trend chart expands above the table; collapsible toggles; data consistent with incident history</t>
  </si>
  <si>
    <t>INC-003</t>
  </si>
  <si>
    <t>Incident table columns</t>
  </si>
  <si>
    <t>1. Inspect table</t>
  </si>
  <si>
    <t>Priority badge (CRITICAL/HIGH/MODERATE/LOW), State badge (NEW/IN PROGRESS/ON HOLD/RESOLVED), Description, Room, Site, Assigned To, Created, Last Updated, ID (INC# + external ServiceNow link icon), Comments count; all sortable</t>
  </si>
  <si>
    <t>INC-004</t>
  </si>
  <si>
    <t>ServiceNow external link icon</t>
  </si>
  <si>
    <t>1. Click the external-link icon next to an INC number</t>
  </si>
  <si>
    <t>Opens the matching incident in ServiceNow in a new tab</t>
  </si>
  <si>
    <t>INC-005</t>
  </si>
  <si>
    <t>Create</t>
  </si>
  <si>
    <t>Create Incident wizard — step 1 validation</t>
  </si>
  <si>
    <t>1. Click + Create
2. Leave Incident Name empty; try Next</t>
  </si>
  <si>
    <t>Next disabled until required fields completed; Incident Name marked * ; Cancel/X closes without creating</t>
  </si>
  <si>
    <t>INC-006</t>
  </si>
  <si>
    <t>Scope radio switches selector</t>
  </si>
  <si>
    <t>1. In wizard choose Scope = Room, then Site, then Zone</t>
  </si>
  <si>
    <t>Following dropdown switches between Room/Site/Zone pickers and clears prior selection</t>
  </si>
  <si>
    <t>INC-007</t>
  </si>
  <si>
    <t>Priority computed from Impact x Urgency</t>
  </si>
  <si>
    <t>1. Select Impact High + Urgency Medium (and other combos)</t>
  </si>
  <si>
    <t>Priority badge recomputes per the ITIL-style matrix (e.g. High+Medium=MODERATE); badge colour matches priority</t>
  </si>
  <si>
    <t>INC-008</t>
  </si>
  <si>
    <t>Auto-Resolve checkbox</t>
  </si>
  <si>
    <t>1. Tick 'Auto-resolve when all associated alerts are resolved'
2. Create incident with associated alerts; resolve all alerts</t>
  </si>
  <si>
    <t>Incident automatically resolves once every associated alert is resolved</t>
  </si>
  <si>
    <t>INC-009</t>
  </si>
  <si>
    <t>Step 2 — Associated Alerts</t>
  </si>
  <si>
    <t>1. Complete step 1 &gt; Next
2. Search/select alerts to associate
3. Create</t>
  </si>
  <si>
    <t>Alert picker lists/filters active alerts; created incident shows associations under its Associated Alerts tab</t>
  </si>
  <si>
    <t>INC-010</t>
  </si>
  <si>
    <t>Created incident appears in list + ServiceNow</t>
  </si>
  <si>
    <t>1. Create a test incident (dev)</t>
  </si>
  <si>
    <t>Row appears in ACTIVE with NEW state; if ServiceNow integration enabled an INC number is allocated and synchronised</t>
  </si>
  <si>
    <t>INC-011</t>
  </si>
  <si>
    <t>Incident detail layout</t>
  </si>
  <si>
    <t>1. Click an incident row</t>
  </si>
  <si>
    <t>Route /hotlist/incidents/detail/{INC#}; priority badge + title banner; tabs Information | Associated Alerts | Comments; Incident Details card shows source badge (ServiceNow), Incident Time, ID link, Category, Assigned To, Assignment Group, State, Impact, Urgency, Priority, Description; Room Details panel loads. KNOWN ISSUE: Room Details may hang 'Loading room details...'; SN description may show raw JSONata template</t>
  </si>
  <si>
    <t>INC-012</t>
  </si>
  <si>
    <t>Edit Information</t>
  </si>
  <si>
    <t>1. Click Edit Information
2. Change Assigned To / State / Description; save</t>
  </si>
  <si>
    <t>Editable fields update; Last Updated changes; edits sync to ServiceNow where applicable</t>
  </si>
  <si>
    <t>INC-013</t>
  </si>
  <si>
    <t>Comments tab</t>
  </si>
  <si>
    <t>1. Open Comments tab
2. Add a comment</t>
  </si>
  <si>
    <t>Comment saved with author + timestamp; Comments count in the list increments; visible to other users</t>
  </si>
  <si>
    <t>INC-014</t>
  </si>
  <si>
    <t>Associated Alerts tab</t>
  </si>
  <si>
    <t>1. Open Associated Alerts</t>
  </si>
  <si>
    <t>Lists linked alerts with severity/status; clicking navigates to the alert detail; resolving alerts updates the list</t>
  </si>
  <si>
    <t>INC-015</t>
  </si>
  <si>
    <t>Sync</t>
  </si>
  <si>
    <t>ServiceNow synchronisation footer</t>
  </si>
  <si>
    <t>1. Check footer 'Last synchronised with ServiceNow'
2. Click refresh icon</t>
  </si>
  <si>
    <t>Timestamp updates after manual refresh; remote changes in ServiceNow (state/assignee) appear after sync</t>
  </si>
  <si>
    <t>INC-016</t>
  </si>
  <si>
    <t>Search/Views</t>
  </si>
  <si>
    <t>Search, saved views, export</t>
  </si>
  <si>
    <t>1. Search incidents; save a view; export</t>
  </si>
  <si>
    <t>Same view machinery as Alerts: search narrows, Recall/Save/Delete View work, export matches filtered set</t>
  </si>
  <si>
    <t>INC-017</t>
  </si>
  <si>
    <t>Auto-creation</t>
  </si>
  <si>
    <t>ServiceNow Auto Incident Creation setting honoured</t>
  </si>
  <si>
    <t>1. Enable setting in Admin &gt; Settings
2. Raise an alert and leave unresolved 15+ min</t>
  </si>
  <si>
    <t>ServiceNow incident auto-created ~15 min after alert creation; auto-resolves ~15 min after alert resolution</t>
  </si>
  <si>
    <t>INC-018</t>
  </si>
  <si>
    <t>Rules</t>
  </si>
  <si>
    <t>Incident rules generate incidents</t>
  </si>
  <si>
    <t>1. Configure an enabled rule in Admin &gt; Incidents (e.g. Severity High+, Qty 20+, Scope Global)
2. Breach the threshold</t>
  </si>
  <si>
    <t>Incident is raised matching rule's Impact/Urgency; scope honoured (Room/Zone/Global aggregation)</t>
  </si>
  <si>
    <t>INC-019</t>
  </si>
  <si>
    <t>Incidents hidden without permission</t>
  </si>
  <si>
    <t>1. Login as user without incident permissions</t>
  </si>
  <si>
    <t>Incidents nav item hidden; create/edit actions absent for read-only users</t>
  </si>
  <si>
    <t>INC-020</t>
  </si>
  <si>
    <t>itsm_propagation flag on create/update</t>
  </si>
  <si>
    <t>1. Create/update an incident with itsm_propagation=true, then another with false</t>
  </si>
  <si>
    <t>true: change syncs to ServiceNow/TDX; false: local-only change (no upstream write); verify header/param behaviour via BFF (POST /incident?itsm_propagation=...)</t>
  </si>
  <si>
    <t>INC-021</t>
  </si>
  <si>
    <t>Resolve</t>
  </si>
  <si>
    <t>Resolution codes on resolve</t>
  </si>
  <si>
    <t>1. Resolve an incident; inspect resolution code dropdown</t>
  </si>
  <si>
    <t>Codes come from /incidents/resolution_codes; resolve requires a code; resolved incident moves to RESOLVED with code recorded</t>
  </si>
  <si>
    <t>INC-022</t>
  </si>
  <si>
    <t>Lookups</t>
  </si>
  <si>
    <t>State/impact/urgency option lists</t>
  </si>
  <si>
    <t>1. Compare Create/Edit dialog dropdowns to API responses (/incidents/states, /impact, /urgency, /categories)</t>
  </si>
  <si>
    <t>Options match the backend lookups exactly (no hardcoded drift); ITSM integration type endpoint controls ServiceNow vs TDX behaviour</t>
  </si>
  <si>
    <t>API</t>
  </si>
  <si>
    <t>INC-023</t>
  </si>
  <si>
    <t>Comments</t>
  </si>
  <si>
    <t>Comment add/edit/delete CRUD</t>
  </si>
  <si>
    <t>1. Add a comment; edit it; delete it (per RFC I5)</t>
  </si>
  <si>
    <t>Full CRUD works with author+timestamp; count badge updates; sync to ITSM if applicable</t>
  </si>
  <si>
    <t>Vitals — Regression Tests</t>
  </si>
  <si>
    <t>Vitals dashboards: Infrastructure, Rooms, Network, Pulse, Sight, custom</t>
  </si>
  <si>
    <t>VIT-001</t>
  </si>
  <si>
    <t>Common</t>
  </si>
  <si>
    <t>Time range selector on every Vitals view</t>
  </si>
  <si>
    <t>1. Open each Vitals view
2. Change 'Past 24 hours' to other ranges</t>
  </si>
  <si>
    <t>All charts re-query for the selected window; axis labels update; selection persists while navigating between views</t>
  </si>
  <si>
    <t>VIT-002</t>
  </si>
  <si>
    <t>Refresh button</t>
  </si>
  <si>
    <t>1. Click Refresh on any Vitals view</t>
  </si>
  <si>
    <t>All visualisations refetch; spinners resolve; Last Updated advances</t>
  </si>
  <si>
    <t>VIT-003</t>
  </si>
  <si>
    <t>Fullscreen expand</t>
  </si>
  <si>
    <t>1. Click expand icon</t>
  </si>
  <si>
    <t>Dashboard enters fullscreen/kiosk mode; exit restores normal layout</t>
  </si>
  <si>
    <t>VIT-004</t>
  </si>
  <si>
    <t>Infrastructure</t>
  </si>
  <si>
    <t>View loads without errors in time</t>
  </si>
  <si>
    <t>1. Open Vitals &gt; Infrastructure</t>
  </si>
  <si>
    <t>Loads &lt; 10s; no auth/index errors; KPIs Avg CPU, Avg Memory, Avg Storage, Hosts Online (n/m) populated</t>
  </si>
  <si>
    <t>VIT-005</t>
  </si>
  <si>
    <t>All visualisations render with data</t>
  </si>
  <si>
    <t>1. Scroll through view</t>
  </si>
  <si>
    <t>All Time CPU / Memory / Storage charts (per-host legend), Innomesh Healthcheck Response Time (all zones: Cluster A/B/C, Staging, Parking Lot), Host Response Time all render with plotted data</t>
  </si>
  <si>
    <t>VIT-006</t>
  </si>
  <si>
    <t>Real Time Host Vitals table sanity</t>
  </si>
  <si>
    <t>1. Inspect host table</t>
  </si>
  <si>
    <t>Each tenant host listed: CPU%, Memory%, Storage%, Uptime(days), Active badge, Zone; values 0-100%, uptime plausible; row count matches host count (no cross-tenant hosts)</t>
  </si>
  <si>
    <t>VIT-007</t>
  </si>
  <si>
    <t>VC-4 Service Vitals</t>
  </si>
  <si>
    <t>1. Inspect VC-4 table</t>
  </si>
  <si>
    <t>Hosts running VC-4 listed with Uptime, Status RUNNING/STOPPED badge, Zone; status matches actual service state</t>
  </si>
  <si>
    <t>VIT-008</t>
  </si>
  <si>
    <t>Vitals Rooms</t>
  </si>
  <si>
    <t>Rooms vitals view loads</t>
  </si>
  <si>
    <t>1. Open Vitals &gt; Rooms</t>
  </si>
  <si>
    <t>KPIs Rooms Powered On / Rooms Occupied; charts Room Powered On %, Room Occupancy %, Rooms Powered On and Occupied by Zone; Room Vitals table lists every tenancy room with maintenance badge</t>
  </si>
  <si>
    <t>VIT-009</t>
  </si>
  <si>
    <t>Counts correlate with tenancy</t>
  </si>
  <si>
    <t>1. Compare Rooms Powered On/Occupied numbers with environment (start a room via XPanel in DEV only)</t>
  </si>
  <si>
    <t>Counts change when rooms power on/become occupied; never exceed total rooms in tenancy</t>
  </si>
  <si>
    <t>VIT-010</t>
  </si>
  <si>
    <t>Empty data handling</t>
  </si>
  <si>
    <t>1. View with a site filter having no active rooms</t>
  </si>
  <si>
    <t>Charts show 'No data available' placeholders; KPIs show dash/zero; no errors</t>
  </si>
  <si>
    <t>VIT-011</t>
  </si>
  <si>
    <t>Network</t>
  </si>
  <si>
    <t>Network view structure</t>
  </si>
  <si>
    <t>1. Open Vitals &gt; Network</t>
  </si>
  <si>
    <t>KPIs Total HTTP / DNS / TLS / Error Rate; charts Transaction Types, HTTP Transactions, DNS Transactions, TLS Sessions, Errors vs Successful, Errors Count Over Time, Latency Histogram, Response Times Distribution all render (or coherent empty states)</t>
  </si>
  <si>
    <t>VIT-012</t>
  </si>
  <si>
    <t>Pulse</t>
  </si>
  <si>
    <t>Pulse view structure</t>
  </si>
  <si>
    <t>1. Open Vitals &gt; Pulse</t>
  </si>
  <si>
    <t>Monitors Status, Pings Over Time, Monitors List, Median Device Response Time (+ per Zone) render; monitor list matches configured Pulse monitors; response times plausible</t>
  </si>
  <si>
    <t>VIT-013</t>
  </si>
  <si>
    <t>Sight</t>
  </si>
  <si>
    <t>Sight vitals view</t>
  </si>
  <si>
    <t>1. Open Vitals &gt; Sight</t>
  </si>
  <si>
    <t>CPU/Queries/Memory Over Time, Sight Worker Uptime, Asset Types with Most Errors, Median Sight Response Time, Response Time per Device render with data when Sight workers active</t>
  </si>
  <si>
    <t>VIT-014</t>
  </si>
  <si>
    <t>Custom</t>
  </si>
  <si>
    <t>VNOC / Pods custom dashboards</t>
  </si>
  <si>
    <t>1. Open VNOC, Pods, Pods-2, Pods-3</t>
  </si>
  <si>
    <t>Tenant-specific visualisation sets render when configured; otherwise clean empty state 'You do not have any visualisations for &lt;name&gt;' — no crash</t>
  </si>
  <si>
    <t>VIT-015</t>
  </si>
  <si>
    <t>No tenant cross-contamination</t>
  </si>
  <si>
    <t>1. Review host names, zones, room names across Vitals views</t>
  </si>
  <si>
    <t>Only current tenant's infrastructure appears</t>
  </si>
  <si>
    <t>VIT-016</t>
  </si>
  <si>
    <t>Vitals hidden without permission</t>
  </si>
  <si>
    <t>1. Login as user without Vitals dashboard access</t>
  </si>
  <si>
    <t>Vitals section absent from sidebar; direct URLs denied</t>
  </si>
  <si>
    <t>VIT-017</t>
  </si>
  <si>
    <t>Compliance</t>
  </si>
  <si>
    <t>Compliance tab renders (permission-gated)</t>
  </si>
  <si>
    <t>1. Grant ip-vitals-compliance; open Vitals &gt; Compliance</t>
  </si>
  <si>
    <t>Compliance bar/pie panels + violation tables (rooms/policies) render; tab hidden without permission. NOTE: tab not visible in dev nav — verify tenant tabLabels config includes it</t>
  </si>
  <si>
    <t>VIT-018</t>
  </si>
  <si>
    <t>Data Accuracy</t>
  </si>
  <si>
    <t>Field-level accuracy vs raw Elasticsearch (Kibana-&gt;ECharts rewrite)</t>
  </si>
  <si>
    <t>1. For each Vitals chart, run the equivalent raw ES query (via /insights/search)
2. Compare rendered values field-by-field with v3.6 Kibana dashboards</t>
  </si>
  <si>
    <t>ARCHITECTURAL CHANGE: v4 reimplemented all Vitals from Kibana iframes to native ECharts + direct ES. Aggregations, time bucketing, timezone boundaries, partial ranges and empty buckets must match v3.6 output exactly — visual similarity is NOT sufficient</t>
  </si>
  <si>
    <t>VIT-019</t>
  </si>
  <si>
    <t>Time bucketing edge cases</t>
  </si>
  <si>
    <t>1. Test each chart with: single-day range, range crossing midnight (AEST/AEDT), 30-minute range, DST transition dates</t>
  </si>
  <si>
    <t>Buckets align with v3.6 behaviour; no off-by-one-bucket or timezone shift; x-axis labels correct local time</t>
  </si>
  <si>
    <t>VIT-020</t>
  </si>
  <si>
    <t>Controls</t>
  </si>
  <si>
    <t>Exact date-range option set</t>
  </si>
  <si>
    <t>1. Open range dropdown on each tab</t>
  </si>
  <si>
    <t>Options are Past 30 minutes / 4 hours / 24 hours / 3 days / 7 days (now-30m..now-7d), default 24h; selection re-queries all panels</t>
  </si>
  <si>
    <t>VIT-021</t>
  </si>
  <si>
    <t>Custom dashboards from tenant config</t>
  </si>
  <si>
    <t>1. Configure a custom Vitals dashboard (useCustomDashboards('Vitals'))
2. Verify tab appears with custom ID route /vitals/{customId}</t>
  </si>
  <si>
    <t>Custom tabs render from uiSettings tabLabels with .show flag + ip-vitals-custom permission; removing config removes tab</t>
  </si>
  <si>
    <t>Insights — Regression Tests</t>
  </si>
  <si>
    <t>Analytics dashboards incl. Consumption (billing) and custom insights</t>
  </si>
  <si>
    <t>INS-001</t>
  </si>
  <si>
    <t>Time range + refresh on all Insights views</t>
  </si>
  <si>
    <t>1. Open each Insights view
2. Change 'Past 3 days' range; click Refresh</t>
  </si>
  <si>
    <t>Charts re-query; selection applies per view; no errors</t>
  </si>
  <si>
    <t>INS-002</t>
  </si>
  <si>
    <t>Insights Rooms visualisations</t>
  </si>
  <si>
    <t>1. Open Insights &gt; Rooms</t>
  </si>
  <si>
    <t>Room Types, Room Usage, Rooms With Most Interactions, Room Powered On Over Time, Room Age, Total Rooms Over Time render with data or clean empty state</t>
  </si>
  <si>
    <t>INS-003</t>
  </si>
  <si>
    <t>Usage</t>
  </si>
  <si>
    <t>Insights Usage visualisations</t>
  </si>
  <si>
    <t>1. Open Insights &gt; Usage</t>
  </si>
  <si>
    <t>Source Usage %, Display Usage, Source Usage, Most Used Devices, Source Usage Over Time, Most Common User Interactions render; 'No data available' when no usage telemetry</t>
  </si>
  <si>
    <t>INS-004</t>
  </si>
  <si>
    <t>Alerts</t>
  </si>
  <si>
    <t>Insights Alerts dashboard</t>
  </si>
  <si>
    <t>1. Open Insights &gt; Alerts</t>
  </si>
  <si>
    <t>NEW ALERTS KPI; charts Alerts By Severity/Zone/Category, Active Alerts Over Time, Alerts Created Over Time, Alerts By Room, Alerts By Device Type; Alerts History table (Created, Room, Zone, Device, Category, Severity, Resolved) paginates 15/page up to 200</t>
  </si>
  <si>
    <t>INS-005</t>
  </si>
  <si>
    <t>KPI consistency with Hotlist</t>
  </si>
  <si>
    <t>1. Compare NEW ALERTS for the selected period vs Hotlist history</t>
  </si>
  <si>
    <t>Counts consistent for equivalent period/filters; severity split matches</t>
  </si>
  <si>
    <t>INS-006</t>
  </si>
  <si>
    <t>History rows show full context</t>
  </si>
  <si>
    <t>1. Inspect Alerts History rows</t>
  </si>
  <si>
    <t>Room/Zone/Device/Severity populated (not all '-'); Resolved Yes/No accurate</t>
  </si>
  <si>
    <t>INS-007</t>
  </si>
  <si>
    <t>Proactive Support</t>
  </si>
  <si>
    <t>MTTR metrics</t>
  </si>
  <si>
    <t>1. Open Insights &gt; Proactive Support</t>
  </si>
  <si>
    <t>Avg Alert Resolution Time (Hours), Avg Alert Response Time (Minutes), Alerts Report Per Person render; person-level report reflects claim/resolve actors</t>
  </si>
  <si>
    <t>INS-008</t>
  </si>
  <si>
    <t>Sight insights</t>
  </si>
  <si>
    <t>1. Open Insights &gt; Sight</t>
  </si>
  <si>
    <t>Qty of Sight Enriched Assets KPI (matches enriched asset count), Sight Queries Over Time chart</t>
  </si>
  <si>
    <t>INS-009</t>
  </si>
  <si>
    <t>Ops</t>
  </si>
  <si>
    <t>Ops insights + trigger history</t>
  </si>
  <si>
    <t>1. Open Insights &gt; Ops</t>
  </si>
  <si>
    <t>Ops Actions Triggered Over Time, Most Triggered Ops Actions, Rooms with Most Ops Actions, Top 10 Ops Users; Ops Trigger History table (Action, Room, User, Timestamp) pages 10/50; automation-triggered actions show user 'Automation'</t>
  </si>
  <si>
    <t>INS-010</t>
  </si>
  <si>
    <t>Consumption</t>
  </si>
  <si>
    <t>Consumption/licensing dashboard</t>
  </si>
  <si>
    <t>1. Open Insights &gt; Consumption</t>
  </si>
  <si>
    <t>KPIs Active Rooms, Rooms Added/Removed in period, Net Change, Peak Day Count; charts Total Rooms Over Time (stacked by site), Tier Distribution, Site Breakdown by Month, Rooms by Site &amp; Tier, Room Changes Heatmap, Room Lifespan Timeline, Month-over-Month Changes, Room First Seen, Room Age; Room Details sortable table</t>
  </si>
  <si>
    <t>INS-011</t>
  </si>
  <si>
    <t>Billing-relevant accuracy</t>
  </si>
  <si>
    <t>1. Cross-check Active Rooms + tier split against known tenancy subscription</t>
  </si>
  <si>
    <t>Room counts and tier breakdown match billing records — this drives invoicing; flag any discrepancy as critical</t>
  </si>
  <si>
    <t>INS-012</t>
  </si>
  <si>
    <t>ECU Custom Insight / INPOD</t>
  </si>
  <si>
    <t>1. Open tenant-custom insights</t>
  </si>
  <si>
    <t>Custom dashboards render their configured panels; empty config shows clean page (title + range bar) without errors</t>
  </si>
  <si>
    <t>INS-013</t>
  </si>
  <si>
    <t>Insights visibility by permission</t>
  </si>
  <si>
    <t>1. Login without Insights access</t>
  </si>
  <si>
    <t>Insights section hidden; custom insights restricted to entitled groups</t>
  </si>
  <si>
    <t>INS-014</t>
  </si>
  <si>
    <t>Panel values vs raw Elastic + v3 Kibana (rewrite)</t>
  </si>
  <si>
    <t>1. For each Insights panel, compare against direct ES query and v3.6 Kibana output
2. Validate metric-card calculations (percentages, averages, totals)</t>
  </si>
  <si>
    <t>ARCHITECTURAL CHANGE: same Kibana-&gt;ECharts rewrite as Vitals. Counts, aggregation buckets, pie/bar proportions and computed metrics must match data-level, incl. empty/sparse data handling</t>
  </si>
  <si>
    <t>INS-015</t>
  </si>
  <si>
    <t>Consumption tab has no date controls</t>
  </si>
  <si>
    <t>Date range controls intentionally hidden (showDateControls=false); data is full-period; other tabs keep range selector</t>
  </si>
  <si>
    <t>INS-016</t>
  </si>
  <si>
    <t>Batch search endpoint behaviour</t>
  </si>
  <si>
    <t>1. Exercise POST /api/insights/batch-search with multiple searches
2. Verify response keyed by search id with metadata (tenant, env, total_hits, aggregation_count)</t>
  </si>
  <si>
    <t>Batch returns per-id results; partial failures surfaced per item; UI panels render from batch correctly</t>
  </si>
  <si>
    <t>INS-017</t>
  </si>
  <si>
    <t>Custom Insights dashboards config-driven</t>
  </si>
  <si>
    <t>1. Configure custom dashboard for Insights; check /insights/{customId} route + ip-insights-custom permission</t>
  </si>
  <si>
    <t>Custom tab renders; permission-gated; tab order follows tenant tabLabels</t>
  </si>
  <si>
    <t>Assets — Regression Tests</t>
  </si>
  <si>
    <t>Asset Register (25k+), asset detail tabs, Actions schedule/history</t>
  </si>
  <si>
    <t>AST-001</t>
  </si>
  <si>
    <t>List</t>
  </si>
  <si>
    <t>Asset Register loads at scale</t>
  </si>
  <si>
    <t>1. Open Assets &gt; Asset Register (tenancy ~25k assets)</t>
  </si>
  <si>
    <t>Table renders within acceptable time; count label accurate (e.g. '25408 assets'); pagination stable; no browser freeze</t>
  </si>
  <si>
    <t>AST-002</t>
  </si>
  <si>
    <t>Columns and sorting</t>
  </si>
  <si>
    <t>1. Inspect columns; sort by Name, Category, Brand</t>
  </si>
  <si>
    <t>Columns Room, Name, Category, Brand, Model, IP Address, Power, Status, Compliance; sorting server-side across full dataset (not just current page)</t>
  </si>
  <si>
    <t>AST-003</t>
  </si>
  <si>
    <t>Search assets</t>
  </si>
  <si>
    <t>1. Search by asset name, model, room, IP</t>
  </si>
  <si>
    <t>Matching rows returned across the full register; count updates; clear restores</t>
  </si>
  <si>
    <t>AST-004</t>
  </si>
  <si>
    <t>Saved views + column picker + export</t>
  </si>
  <si>
    <t>1. Save a filtered view; recall; export</t>
  </si>
  <si>
    <t>Same machinery as Alerts (Recall/Save/Delete View); export contains filtered rows; large export runs as background op under bell</t>
  </si>
  <si>
    <t>AST-005</t>
  </si>
  <si>
    <t>Edit (bulk) mode</t>
  </si>
  <si>
    <t>1. Click Edit button
2. Modify an editable field (if enabled)
3. Save/cancel</t>
  </si>
  <si>
    <t>Edit mode toggles; edits validate and persist; cancel discards; permission-gated</t>
  </si>
  <si>
    <t>AST-006</t>
  </si>
  <si>
    <t>Row kebab View Details</t>
  </si>
  <si>
    <t>1. Click kebab on a row &gt; View Details</t>
  </si>
  <si>
    <t>Asset detail opens (/assets/detail/{roomId}/{assetId})</t>
  </si>
  <si>
    <t>AST-007</t>
  </si>
  <si>
    <t>Power / Status / Compliance values</t>
  </si>
  <si>
    <t>1. Find assets with live status</t>
  </si>
  <si>
    <t>Power shows On/Off/NA badge; Status reflects monitoring state; Compliance reflects policy evaluation; '-' for non-monitored</t>
  </si>
  <si>
    <t>AST-008</t>
  </si>
  <si>
    <t>Detail tabs render</t>
  </si>
  <si>
    <t>1. Open an asset detail</t>
  </si>
  <si>
    <t>Tabs Information, Status, Specifications, History, Alerts, Response Times, Files, Credentials, Actions all clickable; profile image or placeholder shown</t>
  </si>
  <si>
    <t>AST-009</t>
  </si>
  <si>
    <t>Information tab completeness</t>
  </si>
  <si>
    <t>1. Open Information</t>
  </si>
  <si>
    <t>GENERAL section: name, asset_id, room (name+id), zone, site, brand, model, category, system name/id, user_group, hostname, created_at/last_updated; CONNECTIVITY: ip_address. Sensitive fields (password) never shown in plaintext</t>
  </si>
  <si>
    <t>AST-010</t>
  </si>
  <si>
    <t>Status tab</t>
  </si>
  <si>
    <t>1. Open Status tab</t>
  </si>
  <si>
    <t>Live status renders for monitored assets. KNOWN ISSUE (dev): crashes with 'e is not iterable' error boundary — must be fixed/regression-tested</t>
  </si>
  <si>
    <t>AST-011</t>
  </si>
  <si>
    <t>Specifications per asset profile</t>
  </si>
  <si>
    <t>1. Open Specifications on a profiled asset and an unprofiled one</t>
  </si>
  <si>
    <t>Profiled: spec fields render; Unprofiled: 'No specifications available for this asset profile.'</t>
  </si>
  <si>
    <t>AST-012</t>
  </si>
  <si>
    <t>History / Alerts / Response Times tabs</t>
  </si>
  <si>
    <t>1. Open each tab on an actively monitored asset</t>
  </si>
  <si>
    <t>History shows asset event log; Alerts lists alerts raised by this asset (click-through works); Response Times charts ping/poll latency</t>
  </si>
  <si>
    <t>AST-013</t>
  </si>
  <si>
    <t>Files tab upload/download</t>
  </si>
  <si>
    <t>1. Open Files; upload a small file (dev); download it; delete it</t>
  </si>
  <si>
    <t>Upload succeeds with progress; file listed with metadata; download intact; delete confirmed</t>
  </si>
  <si>
    <t>AST-014</t>
  </si>
  <si>
    <t>Credentials tab security</t>
  </si>
  <si>
    <t>1. Open Credentials</t>
  </si>
  <si>
    <t>Credentials masked by default; reveal/edit permission-gated; credentials_tainted flag surfaces when device rejects stored creds</t>
  </si>
  <si>
    <t>AST-015</t>
  </si>
  <si>
    <t>Actions tab (ops actions)</t>
  </si>
  <si>
    <t>1. Open Actions on an asset whose profile defines ops actions
2. Trigger a safe action (e.g. Refresh Webpage) in DEV</t>
  </si>
  <si>
    <t>Profile-defined actions listed; trigger executes and appears in Assets &gt; Actions History and Insights &gt; Ops; assets without actions show 'No actions available for this asset'</t>
  </si>
  <si>
    <t>AST-016</t>
  </si>
  <si>
    <t>Actions Page</t>
  </si>
  <si>
    <t>Schedule and History tabs</t>
  </si>
  <si>
    <t>1. Open Assets &gt; Actions</t>
  </si>
  <si>
    <t>Tabs Schedule | History; table Status, Scheduled Time, Room, Asset, Category, Brand, Model, Action, Parameters, Type, Origin; empty state 'No scheduled actions'; export works</t>
  </si>
  <si>
    <t>AST-017</t>
  </si>
  <si>
    <t>Scheduled action lifecycle</t>
  </si>
  <si>
    <t>1. Schedule an action for future time (via automation or asset Actions)
2. Wait for execution</t>
  </si>
  <si>
    <t>Appears under Schedule until execution; moves to History with outcome status; Origin distinguishes manual vs automation</t>
  </si>
  <si>
    <t>AST-018</t>
  </si>
  <si>
    <t>Teams/Zoom</t>
  </si>
  <si>
    <t>Specialised asset categories</t>
  </si>
  <si>
    <t>1. Open a Teams Room asset and (if present) Zoom Room asset detail</t>
  </si>
  <si>
    <t>Category-specific data renders (e.g. Teams agent versions); no generic-template errors</t>
  </si>
  <si>
    <t>AST-019</t>
  </si>
  <si>
    <t>Asset management permission gating</t>
  </si>
  <si>
    <t>1. Login with read-only asset access</t>
  </si>
  <si>
    <t>Edit/Files/Credentials/Actions mutations hidden or disabled; viewing allowed</t>
  </si>
  <si>
    <t>AST-020</t>
  </si>
  <si>
    <t>Actions</t>
  </si>
  <si>
    <t>Invoke action dialog with real-time progress</t>
  </si>
  <si>
    <t>1. Invoke an asset action (e.g. reboot/screenshot)
2. Watch WebSocket progress</t>
  </si>
  <si>
    <t>LiveResponse messages (status/error/preview_image) stream to the dialog; active-job count badge shows in header; failures show error state</t>
  </si>
  <si>
    <t>AST-021</t>
  </si>
  <si>
    <t>Credentials</t>
  </si>
  <si>
    <t>Credentials dialog (Sight monitoring creds)</t>
  </si>
  <si>
    <t>1. Open credentials dialog with permission
2. View/copy/update credentials</t>
  </si>
  <si>
    <t>Credentials masked by default, copy works, update persists (PUT /asset/credentials); credentials_tainted flag clears after successful update</t>
  </si>
  <si>
    <t>AST-022</t>
  </si>
  <si>
    <t>Pagination</t>
  </si>
  <si>
    <t>Server-side paginated v3 assets endpoint</t>
  </si>
  <si>
    <t>1. On 25k-asset registry: page through, change page size, sort server-side (POST /v3/assets)</t>
  </si>
  <si>
    <t>Pagination/sort/search execute server-side (not client slice); response times acceptable; total count accurate</t>
  </si>
  <si>
    <t>AST-023</t>
  </si>
  <si>
    <t>Files</t>
  </si>
  <si>
    <t>Asset file upload/download via presigned URLs</t>
  </si>
  <si>
    <t>1. Upload file on asset Files tab; download it; check URL expiry</t>
  </si>
  <si>
    <t>Presigned URL flow works (POST /asset/file, GET /asset/file); expired URLs fail gracefully; files listed with metadata</t>
  </si>
  <si>
    <t>Information — Regression Tests</t>
  </si>
  <si>
    <t>Custom room-information summary views and inline editing</t>
  </si>
  <si>
    <t>INF-001</t>
  </si>
  <si>
    <t>Views</t>
  </si>
  <si>
    <t>Custom views render as tabs</t>
  </si>
  <si>
    <t>1. Open Information page</t>
  </si>
  <si>
    <t>Configured summary views render as tabs (e.g. Demo View, Room Summary, WebCheckout); first tab loads by default</t>
  </si>
  <si>
    <t>INF-002</t>
  </si>
  <si>
    <t>Per-view custom columns</t>
  </si>
  <si>
    <t>1. Switch between tabs</t>
  </si>
  <si>
    <t>Each view shows its configured attribute columns (SLA, System ID, Timetable, Capture Device, area, Schematic PDF, etc.); horizontal scroll for wide sets; sortable</t>
  </si>
  <si>
    <t>INF-003</t>
  </si>
  <si>
    <t>Data</t>
  </si>
  <si>
    <t>Attribute links work</t>
  </si>
  <si>
    <t>1. Click a Timetable URL and a Schematic PDF link</t>
  </si>
  <si>
    <t>External links open in new tab (shorturl + S3 attachment links valid, no 403/404)</t>
  </si>
  <si>
    <t>INF-004</t>
  </si>
  <si>
    <t>Edit</t>
  </si>
  <si>
    <t>Inline edit (pencil) mode</t>
  </si>
  <si>
    <t>1. Click pencil icon
2. Edit an attribute value; save
3. Re-load page</t>
  </si>
  <si>
    <t>Edit mode enables cell editing; saved value persists and is visible to other users; validation per attribute type (number/boolean/text)</t>
  </si>
  <si>
    <t>INF-005</t>
  </si>
  <si>
    <t>Search rooms within a view</t>
  </si>
  <si>
    <t>1. Type a room name</t>
  </si>
  <si>
    <t>Rows filter live; works in every view tab</t>
  </si>
  <si>
    <t>INF-006</t>
  </si>
  <si>
    <t>Saved views (Recall/Save)</t>
  </si>
  <si>
    <t>1. Apply search/sort; save view; recall</t>
  </si>
  <si>
    <t>View machinery works as in other modules</t>
  </si>
  <si>
    <t>INF-007</t>
  </si>
  <si>
    <t>Attribute changes propagate</t>
  </si>
  <si>
    <t>1. Change a room attribute under Admin &gt; Room Attributes (or via import)
2. Check Information view</t>
  </si>
  <si>
    <t>Information view reflects new attribute values/columns; Summary Views config drives which tabs exist</t>
  </si>
  <si>
    <t>INF-008</t>
  </si>
  <si>
    <t>Information access gating</t>
  </si>
  <si>
    <t>1. Login without Room Information permission</t>
  </si>
  <si>
    <t>Information nav hidden; URLs denied; edit mode requires elevated permission</t>
  </si>
  <si>
    <t>INF-009</t>
  </si>
  <si>
    <t>Edit Rules</t>
  </si>
  <si>
    <t>Field editability matrix</t>
  </si>
  <si>
    <t>1. Attempt inline edit on: Hyperlink, File, Image fields; smart attributes; sync_direction=Inbound fields; dynamic fields; plain text/enum fields</t>
  </si>
  <si>
    <t>Only non-Hyperlink/File/Image, non-smart, non-Inbound, non-dynamic fields are editable; enum fields show dropdown of enum values; others read-only with no edit affordance</t>
  </si>
  <si>
    <t>INF-010</t>
  </si>
  <si>
    <t>Links</t>
  </si>
  <si>
    <t>SecureLinks flag behaviour</t>
  </si>
  <si>
    <t>1. Tenant with InformationDetailView.SecureLinks=true: open Files/Links section</t>
  </si>
  <si>
    <t>Links served as secured/presigned (POST /smp/download_files); without flag, direct URLs; no broken links either way</t>
  </si>
  <si>
    <t>INF-011</t>
  </si>
  <si>
    <t>Sections</t>
  </si>
  <si>
    <t>Config-driven sections (Digital Signage / Web Checkout)</t>
  </si>
  <si>
    <t>1. Toggle showDigitalSignage/showWebCheckout in tenant config
2. Open information detail</t>
  </si>
  <si>
    <t>Sections render only when configured; Web Checkout uses v1 API endpoints incl. sync (POST /room/{id}/webcheckout/sync); Timetable section appears only when timetable fields detected</t>
  </si>
  <si>
    <t>INF-012</t>
  </si>
  <si>
    <t>Room fields CSV export request flow</t>
  </si>
  <si>
    <t>1. Trigger CSV export (POST /smp/roomfields/csv/request)
2. Wait for completion</t>
  </si>
  <si>
    <t>Async export tracked (bell PROGRESS); file matches current view's rooms/fields; filename convention {tenant}-{date}-{type}.csv</t>
  </si>
  <si>
    <t>Integrations — Regression Tests</t>
  </si>
  <si>
    <t>QSC Q-Sys, Microsoft Teams Room, Appspace</t>
  </si>
  <si>
    <t>ITG-001</t>
  </si>
  <si>
    <t>Q-Sys</t>
  </si>
  <si>
    <t>Global Logs tab</t>
  </si>
  <si>
    <t>1. Open Integrations &gt; QSC Q-Sys</t>
  </si>
  <si>
    <t>Tabs Global Logs | Global Events | Global Vitals; logs table (Date &amp; Time, Room Name, Device IP, Message, Category, Source) with time-range selector (Last 1 Day) and saved views; 'No logs found' empty state</t>
  </si>
  <si>
    <t>ITG-002</t>
  </si>
  <si>
    <t>Global Events tab</t>
  </si>
  <si>
    <t>1. Click Global Events</t>
  </si>
  <si>
    <t>Events table (… Category, Severity) renders; search + export work; events correspond to Q-Sys cores in environment</t>
  </si>
  <si>
    <t>ITG-003</t>
  </si>
  <si>
    <t>Global Vitals tab</t>
  </si>
  <si>
    <t>1. Click Global Vitals</t>
  </si>
  <si>
    <t>KPIs Q-SYS Devices / Total Faults / Total Warnings; charts CPU Usage %, Memory Usage %, Disk Usage %, CPU Temperature, Faults over Time, Warnings over Time; values match connected cores; clean empty states when none</t>
  </si>
  <si>
    <t>ITG-004</t>
  </si>
  <si>
    <t>Time range selector</t>
  </si>
  <si>
    <t>1. Change 'Last 1 Day' range</t>
  </si>
  <si>
    <t>Logs/events/vitals re-query for window</t>
  </si>
  <si>
    <t>ITG-005</t>
  </si>
  <si>
    <t>Teams Room</t>
  </si>
  <si>
    <t>Device List</t>
  </si>
  <si>
    <t>1. Open Integrations &gt; Microsoft Teams Room</t>
  </si>
  <si>
    <t>Tabs Device List | Insights; table Microsoft Teams Room Name, Model, IP, MAC, Serial Number, Teams Admin Agent, Windows OS, Teams App, Activity State, Health Status (HEALTHY badge); device data matches Teams Admin Center</t>
  </si>
  <si>
    <t>ITG-006</t>
  </si>
  <si>
    <t>Insights tab</t>
  </si>
  <si>
    <t>1. Click Insights tab</t>
  </si>
  <si>
    <t>Teams Room analytics render (usage/health) without errors</t>
  </si>
  <si>
    <t>ITG-007</t>
  </si>
  <si>
    <t>Appspace</t>
  </si>
  <si>
    <t>Appspace page loads its own module</t>
  </si>
  <si>
    <t>1. Click Appspace in sidebar
2. Also deep-link /integrations/appspace directly</t>
  </si>
  <si>
    <t>Appspace integration UI renders (devices/content health). KNOWN ISSUE: deep link and even sidebar nav currently render the QSC Q-Sys module — regression-test the route fix</t>
  </si>
  <si>
    <t>ITG-008</t>
  </si>
  <si>
    <t>Routing</t>
  </si>
  <si>
    <t>Integration deep links after refresh</t>
  </si>
  <si>
    <t>1. On each integration page press F5</t>
  </si>
  <si>
    <t>Page reloads to the same integration (not Q-Sys); breadcrumb/title correct</t>
  </si>
  <si>
    <t>ITG-009</t>
  </si>
  <si>
    <t>Integrations visibility by permission</t>
  </si>
  <si>
    <t>1. Login without integration management permission</t>
  </si>
  <si>
    <t>Integrations section hidden; URLs denied</t>
  </si>
  <si>
    <t>ITG-010</t>
  </si>
  <si>
    <t>Config</t>
  </si>
  <si>
    <t>Integration with no configured connection</t>
  </si>
  <si>
    <t>1. View an integration page in a tenancy without that integration configured</t>
  </si>
  <si>
    <t>Clean empty/CTA state, no stack traces</t>
  </si>
  <si>
    <t>ITG-011</t>
  </si>
  <si>
    <t>Parity</t>
  </si>
  <si>
    <t>Cisco Webex / Zoom / Biamp SageVue presence (v3 parity)</t>
  </si>
  <si>
    <t>1. v3 shipped Webex, Zoom, Biamp SageVue integrations; v4 permission constants exist (ip-integrations-cisco-webex/zoom/biamp-sagevue)
2. Check v4 tabs for tenants using them</t>
  </si>
  <si>
    <t>PARITY CHECK: integrations render for entitled tenants or the gap is documented as accepted delta in the parity catalogue</t>
  </si>
  <si>
    <t>ITG-012</t>
  </si>
  <si>
    <t>MTR</t>
  </si>
  <si>
    <t>MTR data + actions flag</t>
  </si>
  <si>
    <t>1. Open MTR tab (devices/insights/properties endpoints)
2. Tenant with mtr_actions_enabled=true: verify device actions</t>
  </si>
  <si>
    <t>Device list matches Teams admin data; insights/properties load; MTR actions appear only when alertConfig.mtr_actions_enabled</t>
  </si>
  <si>
    <t>ITG-013</t>
  </si>
  <si>
    <t>Per-subtab Q-Sys permissions</t>
  </si>
  <si>
    <t>1. Grant only ip-integrations-qsc-logs (not vitals/events)
2. Open Q-Sys page</t>
  </si>
  <si>
    <t>Only Logs subtab visible; Vitals/Events hidden per ip-integrations-qsc-vitals/-events permissions</t>
  </si>
  <si>
    <t>ITG-014</t>
  </si>
  <si>
    <t>Appspace endpoints listing</t>
  </si>
  <si>
    <t>1. Open Appspace tab (GET /integrations/appspace + /endpoints)</t>
  </si>
  <si>
    <t>Appspace devices/endpoints render; empty state when unconfigured; (blocked today by route-rendering bug BUG-002)</t>
  </si>
  <si>
    <t>Rooms — Regression Tests</t>
  </si>
  <si>
    <t>Rooms list and room support view</t>
  </si>
  <si>
    <t>ROM-001</t>
  </si>
  <si>
    <t>Rooms list loads under All Sites</t>
  </si>
  <si>
    <t>1. Open Rooms</t>
  </si>
  <si>
    <t>List loads within 30s budget; 'POWERED ON: n' badge + total room count accurate. KNOWN ISSUE (dev): 'Failed to load rooms — timeout of 30000ms exceeded' with Retry; must be perf-tested at production scale</t>
  </si>
  <si>
    <t>ROM-002</t>
  </si>
  <si>
    <t>Columns and default sort</t>
  </si>
  <si>
    <t>Columns Room, Zone, Site, Power, Type, Alerts; default sorted by Alerts desc; all columns sortable</t>
  </si>
  <si>
    <t>ROM-003</t>
  </si>
  <si>
    <t>Search rooms</t>
  </si>
  <si>
    <t>1. Search a room name</t>
  </si>
  <si>
    <t>Filtered server-side promptly; count and POWERED ON badge update for the filtered set</t>
  </si>
  <si>
    <t>ROM-004</t>
  </si>
  <si>
    <t>Retry after load failure</t>
  </si>
  <si>
    <t>1. If load fails, click Retry</t>
  </si>
  <si>
    <t>Retry re-issues the query; succeeds when backend healthy; no duplicated rows</t>
  </si>
  <si>
    <t>ROM-005</t>
  </si>
  <si>
    <t>Saved views / column picker / export</t>
  </si>
  <si>
    <t>1. Save a view, recall it, export</t>
  </si>
  <si>
    <t>Standard view machinery works; export matches filter</t>
  </si>
  <si>
    <t>ROM-006</t>
  </si>
  <si>
    <t>Support View</t>
  </si>
  <si>
    <t>Room support view opens</t>
  </si>
  <si>
    <t>1. Click a room row (or room link from an alert/asset)</t>
  </si>
  <si>
    <t>Room support view opens with room header (power/occupancy state) and tabs for Hotlist, Assets, History, Resources, Schedule (per v4 design); breadcrumb back to Rooms</t>
  </si>
  <si>
    <t>ROM-007</t>
  </si>
  <si>
    <t>Room Hotlist tab</t>
  </si>
  <si>
    <t>1. Open room's Hotlist tab</t>
  </si>
  <si>
    <t>Only this room's active alerts listed; claiming/resolving here reflects in global Hotlist</t>
  </si>
  <si>
    <t>ROM-008</t>
  </si>
  <si>
    <t>Room Assets tab + live status</t>
  </si>
  <si>
    <t>1. Open Assets tab
2. Open an asset's live status</t>
  </si>
  <si>
    <t>All room assets listed with category/status; live status streams current device state for online assets</t>
  </si>
  <si>
    <t>ROM-009</t>
  </si>
  <si>
    <t>Room History tab</t>
  </si>
  <si>
    <t>1. Open History tab</t>
  </si>
  <si>
    <t>Room event history (power, occupancy, alerts) in chronological order; filters work</t>
  </si>
  <si>
    <t>ROM-010</t>
  </si>
  <si>
    <t>Room Resources tab</t>
  </si>
  <si>
    <t>1. Open Resources tab</t>
  </si>
  <si>
    <t>Room resources/attachments (schematics, docs) listed and downloadable</t>
  </si>
  <si>
    <t>ROM-011</t>
  </si>
  <si>
    <t>Room Schedule tab</t>
  </si>
  <si>
    <t>1. Open Schedule tab on a calendar-integrated room</t>
  </si>
  <si>
    <t>Upcoming bookings render from calendar integration; correct timezone</t>
  </si>
  <si>
    <t>ROM-012</t>
  </si>
  <si>
    <t>Ellipsis/kebab room actions</t>
  </si>
  <si>
    <t>1. Open room kebab menu</t>
  </si>
  <si>
    <t>Room-level actions (e.g. maintenance mode, edit info) listed per permissions; maintenance toggle suppresses room alerts and shows in Vitals &gt; Rooms maintenance count</t>
  </si>
  <si>
    <t>ROM-013</t>
  </si>
  <si>
    <t>Cross-link</t>
  </si>
  <si>
    <t>Room links from other modules</t>
  </si>
  <si>
    <t>1. Click room name from Alert detail, Asset register, Dashboard Top Alerting Rooms</t>
  </si>
  <si>
    <t>Each opens the same room support view. KNOWN ISSUE: alert-detail room button currently no-op</t>
  </si>
  <si>
    <t>ROM-014</t>
  </si>
  <si>
    <t>Maintenance</t>
  </si>
  <si>
    <t>In-maintenance room behaviour</t>
  </si>
  <si>
    <t>1. Put a room in maintenance (dev)
2. Trigger an alert on its assets</t>
  </si>
  <si>
    <t>Alerts suppressed (appear under SUPPRESSED with maintenance context); Vitals Rooms maintenance count +1; SLA tracking respects maintenance window</t>
  </si>
  <si>
    <t>ROM-015</t>
  </si>
  <si>
    <t>Rooms visibility by permission/user group</t>
  </si>
  <si>
    <t>1. Login as user scoped to a user group</t>
  </si>
  <si>
    <t>Only rooms in the user's group(s) listed; counts scoped accordingly</t>
  </si>
  <si>
    <t>ROM-016</t>
  </si>
  <si>
    <t>Launchpad</t>
  </si>
  <si>
    <t>Launchpad panel: all launcher types</t>
  </si>
  <si>
    <t>1. On a room with each resource type, test: Web Panels (direct URL), XPanels (launch URL API), VNC (host:port), Cameras, Timetable/Schedule popups, Recorders (echo360/capture/recorder fields)</t>
  </si>
  <si>
    <t>Each launcher opens its target; XPanel uses GET /room/{id}/xpanels/{name}/launchurl; monitoring-zone rooms use the zone-aware monitoring launch URL (v3: monitoring- prefix) — verify v4 handles both origins</t>
  </si>
  <si>
    <t>ROM-017</t>
  </si>
  <si>
    <t>Live Status</t>
  </si>
  <si>
    <t>Live status bar fields via WebSocket</t>
  </si>
  <si>
    <t>1. Open room detail of an active room
2. Change room state (occupancy, lights, volume, start recording, present a source)</t>
  </si>
  <si>
    <t>Status bar live-updates: Occupied/Vacant, Maintenance, Recording + upcoming recording, Lights, Presenting sources, Volume/Program level, Mics — without page refresh</t>
  </si>
  <si>
    <t>ROM-018</t>
  </si>
  <si>
    <t>Set/Clear maintenance with notes</t>
  </si>
  <si>
    <t>1. Set maintenance with a note (PUT /room/{id}/maintenance)
2. Clear it (DELETE)</t>
  </si>
  <si>
    <t>Maintenance state propagates: alerts suppressed, Vitals maintenance count, status bar badge; notes recorded; clear restores monitoring</t>
  </si>
  <si>
    <t>ROM-019</t>
  </si>
  <si>
    <t>Schedule</t>
  </si>
  <si>
    <t>Schedule panel + week modal + calendaring flag</t>
  </si>
  <si>
    <t>1. Open schedule panel on calendar-integrated room; open week modal
2. Check a tenant with rooms calendaring disabled</t>
  </si>
  <si>
    <t>Meetings render (GET /room/{id}/meetings) with correct timezone; week modal shows full week; panel hidden/disabled when calendaring not enabled</t>
  </si>
  <si>
    <t>ROM-020</t>
  </si>
  <si>
    <t>Layout</t>
  </si>
  <si>
    <t>Panel order from tenant config</t>
  </si>
  <si>
    <t>1. Change uiSettings.Rooms.RoomSupportViewPanelOrder
2. Reload room detail</t>
  </si>
  <si>
    <t>Panels reorder per config (default schedule, launchpad, information, resources); Assets and Hotlist panels remain fixed</t>
  </si>
  <si>
    <t>ROM-021</t>
  </si>
  <si>
    <t>Launch Remote UI permission</t>
  </si>
  <si>
    <t>1. User without ip-rooms-launch-remote-ui opens room detail</t>
  </si>
  <si>
    <t>Remote UI launcher hidden/disabled; with permission, remote URL (remote.{tenant}.{domain}?roomid=...) opens</t>
  </si>
  <si>
    <t>Axis AI — Regression Tests</t>
  </si>
  <si>
    <t>Axis AI chat, saved insights, data scoping</t>
  </si>
  <si>
    <t>AXI-001</t>
  </si>
  <si>
    <t>Chat</t>
  </si>
  <si>
    <t>Landing state</t>
  </si>
  <si>
    <t>1. Open Axis AI</t>
  </si>
  <si>
    <t>Chat tab active; CONNECTED badge; welcome message + example prompt buttons; input with send button</t>
  </si>
  <si>
    <t>AXI-002</t>
  </si>
  <si>
    <t>Example prompt buttons</t>
  </si>
  <si>
    <t>1. Click 'What rooms have alerts?'</t>
  </si>
  <si>
    <t>Prompt submitted; Axis responds with data consistent with Hotlist (rooms with active alerts)</t>
  </si>
  <si>
    <t>AXI-003</t>
  </si>
  <si>
    <t>Natural language data query with visualisation</t>
  </si>
  <si>
    <t>1. Ask 'Show me the alert trend over the last two months'</t>
  </si>
  <si>
    <t>Response includes a rendered chart/table; values consistent with Insights &gt; Alerts</t>
  </si>
  <si>
    <t>AXI-004</t>
  </si>
  <si>
    <t>Slash commands and /axis-catalog</t>
  </si>
  <si>
    <t>1. Type '/' in input
2. Run /axis-catalog</t>
  </si>
  <si>
    <t>Slash command menu appears; /axis-catalog lists available datasets and preset questions</t>
  </si>
  <si>
    <t>AXI-005</t>
  </si>
  <si>
    <t>Nonsense/out-of-scope question</t>
  </si>
  <si>
    <t>1. Ask something unrelated (e.g. weather)</t>
  </si>
  <si>
    <t>Graceful refusal/redirect to platform data scope; no crash or hallucinated tenant data</t>
  </si>
  <si>
    <t>AXI-006</t>
  </si>
  <si>
    <t>Clear conversation</t>
  </si>
  <si>
    <t>1. Click trash icon top-right</t>
  </si>
  <si>
    <t>Conversation clears back to welcome state (with confirm if destructive)</t>
  </si>
  <si>
    <t>AXI-007</t>
  </si>
  <si>
    <t>Saved Insights</t>
  </si>
  <si>
    <t>Save and recall an insight</t>
  </si>
  <si>
    <t>1. Generate a chart answer
2. Save it
3. Open Saved Insights tab</t>
  </si>
  <si>
    <t>Saved item listed with name/date; reopening re-renders the visualisation; delete works</t>
  </si>
  <si>
    <t>AXI-008</t>
  </si>
  <si>
    <t>Security</t>
  </si>
  <si>
    <t>Data scoping in AI answers</t>
  </si>
  <si>
    <t>1. Ask for data as a user-group-restricted user</t>
  </si>
  <si>
    <t>Responses only include rooms/devices within the user's permission scope — no leakage across user groups/tenants</t>
  </si>
  <si>
    <t>AXI-009</t>
  </si>
  <si>
    <t>Resilience</t>
  </si>
  <si>
    <t>AI service disconnected</t>
  </si>
  <si>
    <t>1. Open Axis AI when backend unavailable (dev simulation)</t>
  </si>
  <si>
    <t>Status badge reflects disconnected; input disabled or queued with clear messaging</t>
  </si>
  <si>
    <t>AXI-010</t>
  </si>
  <si>
    <t>Persistence</t>
  </si>
  <si>
    <t>Saved insights caps + in-memory store limits</t>
  </si>
  <si>
    <t>1. Save &gt;50 insights; append &gt;200 query-log entries
2. Restart BFF (dev)</t>
  </si>
  <si>
    <t>Caps enforced (50 insights deduped by messageId, 200 log entries); KNOWN LIMITATION: store is in-memory per user — data lost on BFF restart; verify behaviour is acceptable/documented before GA</t>
  </si>
  <si>
    <t>AXI-011</t>
  </si>
  <si>
    <t>Connection</t>
  </si>
  <si>
    <t>Connection state machine</t>
  </si>
  <si>
    <t>1. Observe badge states: connected / disconnected / reconnecting / service_unavailable (kill WS, restore)</t>
  </si>
  <si>
    <t>Status badge transitions correctly; reconnect recovers; queries blocked or queued while disconnected with clear messaging</t>
  </si>
  <si>
    <t>AXI-012</t>
  </si>
  <si>
    <t>Replay</t>
  </si>
  <si>
    <t>Query replay from saved insight</t>
  </si>
  <si>
    <t>1. Save an insight; open Saved Insights; click replay</t>
  </si>
  <si>
    <t>Original query re-submitted into chat (pendingQuery), new response generated; usage logged to query-log</t>
  </si>
  <si>
    <t>Administration — Regression Tests</t>
  </si>
  <si>
    <t>Audit logs, asset profiles/drivers/policies, settings, users, room attributes, import/export, automation, incident rules</t>
  </si>
  <si>
    <t>ADM-001</t>
  </si>
  <si>
    <t>Audit Logs</t>
  </si>
  <si>
    <t>Audit logs page loads</t>
  </si>
  <si>
    <t>1. Open Administration &gt; Audit Logs</t>
  </si>
  <si>
    <t>Log table with filters loads. KNOWN ISSUE (dev): crashes 'A &lt;Select.Item /&gt; must have a value prop that is not an empty string' — regression-test the fix; verify error boundary resets when navigating away (currently sticks until Try again)</t>
  </si>
  <si>
    <t>ADM-002</t>
  </si>
  <si>
    <t>Actions are audited</t>
  </si>
  <si>
    <t>1. Claim an alert, edit an attribute, sign in/out
2. Check audit logs</t>
  </si>
  <si>
    <t>Each action recorded with actor, timestamp, entity and action type; filterable by user/date/type</t>
  </si>
  <si>
    <t>ADM-003</t>
  </si>
  <si>
    <t>Assets Admin</t>
  </si>
  <si>
    <t>Asset profile tabs render</t>
  </si>
  <si>
    <t>1. Open Administration &gt; Assets</t>
  </si>
  <si>
    <t>Tabs Asset Profiles | Space VC Drivers | Space CE Drivers | Sight Drivers | Ops Actions | Pulse Drivers | Asset Policies | Asset Fields; profile table columns Profile Name, Type, Brand, Model, ID Convention, Name Convention</t>
  </si>
  <si>
    <t>ADM-004</t>
  </si>
  <si>
    <t>Create asset profile</t>
  </si>
  <si>
    <t>1. Click + Create Profile
2. Complete and save (dev)</t>
  </si>
  <si>
    <t>Profile created and listed; assets matching ID convention pick up profile (specs/actions become available on asset detail)</t>
  </si>
  <si>
    <t>ADM-005</t>
  </si>
  <si>
    <t>Driver tabs (Space VC/CE, Sight, Pulse)</t>
  </si>
  <si>
    <t>1. Open each driver tab</t>
  </si>
  <si>
    <t>Driver lists render with version/status; create/edit driver config flows validate required fields</t>
  </si>
  <si>
    <t>ADM-006</t>
  </si>
  <si>
    <t>Ops Actions definitions</t>
  </si>
  <si>
    <t>1. Open Ops Actions tab
2. Create/edit an action (dev)</t>
  </si>
  <si>
    <t>Action defined with parameters; becomes triggerable from matching assets' Actions tab and Automation policies</t>
  </si>
  <si>
    <t>ADM-007</t>
  </si>
  <si>
    <t>Asset Policies (compliance)</t>
  </si>
  <si>
    <t>1. Open Asset Policies
2. Define a policy (e.g. DHCP must be disabled)</t>
  </si>
  <si>
    <t>Policy evaluation flags non-compliant assets (Compliance column in register) and raises Policy Compliance alerts (cf. 'DHCP Enabled is True' demo alert)</t>
  </si>
  <si>
    <t>ADM-008</t>
  </si>
  <si>
    <t>Asset Fields (custom fields)</t>
  </si>
  <si>
    <t>1. Open Asset Fields; add a custom field</t>
  </si>
  <si>
    <t>Field appears on asset records; values editable and exportable</t>
  </si>
  <si>
    <t>ADM-009</t>
  </si>
  <si>
    <t>Settings</t>
  </si>
  <si>
    <t>Change Mode toggle</t>
  </si>
  <si>
    <t>1. Open Administration &gt; Settings
2. Enable Change Mode</t>
  </si>
  <si>
    <t>Toggle persists; SLA tracking halted during change window (outages excluded from SLA metrics); banner/indicator communicates active change mode; disable restores tracking</t>
  </si>
  <si>
    <t>ADM-010</t>
  </si>
  <si>
    <t>ServiceNow Auto Incident Creation toggle</t>
  </si>
  <si>
    <t>1. Toggle the setting</t>
  </si>
  <si>
    <t>When ON: SN incidents auto-create/resolve 15 min after alert create/resolve. When OFF: no automatic SN incidents</t>
  </si>
  <si>
    <t>ADM-011</t>
  </si>
  <si>
    <t>Users</t>
  </si>
  <si>
    <t>Users tab listing</t>
  </si>
  <si>
    <t>1. Open Administration &gt; Users</t>
  </si>
  <si>
    <t>Tabs Users | User Groups | Roles | SAML Roles | App Clients; user table: Given/Family Name, Email, Roles, User Group, SSO Provider, Date Created, Terms (accepted?); search + export</t>
  </si>
  <si>
    <t>ADM-012</t>
  </si>
  <si>
    <t>Create/edit user and assign roles</t>
  </si>
  <si>
    <t>1. Create a test user (dev); assign role + user group</t>
  </si>
  <si>
    <t>User created; receives access per role on next login; edits audited</t>
  </si>
  <si>
    <t>ADM-013</t>
  </si>
  <si>
    <t>User Groups CRUD + room scoping</t>
  </si>
  <si>
    <t>1. Open User Groups tab
2. Create group; attach rooms/users</t>
  </si>
  <si>
    <t>Group scopes data visibility (rooms/alerts/assets) for members; deletion blocked or warned when in use</t>
  </si>
  <si>
    <t>ADM-014</t>
  </si>
  <si>
    <t>Roles tab + custom roles</t>
  </si>
  <si>
    <t>1. Open Roles
2. Create custom role with limited permissions</t>
  </si>
  <si>
    <t>Permission matrix saved; members see only granted modules (see RBAC sheet)</t>
  </si>
  <si>
    <t>ADM-015</t>
  </si>
  <si>
    <t>SAML Roles mapping</t>
  </si>
  <si>
    <t>1. Open SAML Roles
2. Map an IdP group to a portal role</t>
  </si>
  <si>
    <t>SSO users receive mapped roles on login; unmapped users get default/no access</t>
  </si>
  <si>
    <t>ADM-016</t>
  </si>
  <si>
    <t>App Clients (API credentials)</t>
  </si>
  <si>
    <t>1. Open App Clients
2. Create a client; copy secret</t>
  </si>
  <si>
    <t>Client ID/secret issued once; scoped API access works; revoke invalidates immediately</t>
  </si>
  <si>
    <t>ADM-017</t>
  </si>
  <si>
    <t>Room Attributes</t>
  </si>
  <si>
    <t>Smart Room Attributes list</t>
  </si>
  <si>
    <t>1. Open Administration &gt; Room Attributes</t>
  </si>
  <si>
    <t>Tabs Smart Room Attributes | Summary Views; table Attribute Name, Type (BOOLEAN/NUMBER/TEXT badges), Grouping, Source (configuration/information/configuration_space), Conditions count; search + export; count label accurate (e.g. 28 attributes)</t>
  </si>
  <si>
    <t>ADM-018</t>
  </si>
  <si>
    <t>Create attribute with conditions</t>
  </si>
  <si>
    <t>1. + Create Attribute; define type/grouping/source + condition(s)</t>
  </si>
  <si>
    <t>Attribute saved; conditions evaluated against rooms; surfaced in Information views and room support view</t>
  </si>
  <si>
    <t>ADM-019</t>
  </si>
  <si>
    <t>Duplicate attribute names</t>
  </si>
  <si>
    <t>1. Create attribute with an existing name (e.g. 'Camera Input' duplicates exist in dev)</t>
  </si>
  <si>
    <t>System prevents/warns on duplicates or handles them deterministically — current dev data shows duplicates; clarify expected behaviour</t>
  </si>
  <si>
    <t>ADM-020</t>
  </si>
  <si>
    <t>Summary Views builder</t>
  </si>
  <si>
    <t>1. Open Summary Views tab
2. Create/edit a view with chosen attributes</t>
  </si>
  <si>
    <t>View appears as a tab on the Information page with configured columns</t>
  </si>
  <si>
    <t>ADM-021</t>
  </si>
  <si>
    <t>Import/Export</t>
  </si>
  <si>
    <t>Data Import rules list</t>
  </si>
  <si>
    <t>1. Open Administration &gt; Import / Export</t>
  </si>
  <si>
    <t>Tabs Data Import | Data Export; rules table: Dynamic Field, Filename, Format (CSV), Name Path, Value Path; search + Create Rule + Manual Import buttons</t>
  </si>
  <si>
    <t>ADM-022</t>
  </si>
  <si>
    <t>Manual CSV import</t>
  </si>
  <si>
    <t>1. Click Manual Import
2. Upload a valid CSV matching a rule</t>
  </si>
  <si>
    <t>Import processed; progress under bell PROGRESS tab; imported values appear on rooms (dynamic fields); result summary shows rows ok/failed</t>
  </si>
  <si>
    <t>ADM-023</t>
  </si>
  <si>
    <t>Import with malformed CSV</t>
  </si>
  <si>
    <t>1. Upload CSV with wrong headers/empty values</t>
  </si>
  <si>
    <t>Validation errors reported under ERRORS tab with row detail; no partial corruption of room data</t>
  </si>
  <si>
    <t>ADM-024</t>
  </si>
  <si>
    <t>Create import rule</t>
  </si>
  <si>
    <t>1. Create Rule mapping name path/value path</t>
  </si>
  <si>
    <t>Rule saved and applied to subsequent imports of that filename</t>
  </si>
  <si>
    <t>ADM-025</t>
  </si>
  <si>
    <t>Data Export tab</t>
  </si>
  <si>
    <t>1. Open Data Export
2. Run an export</t>
  </si>
  <si>
    <t>Export generated and downloadable; progress visible; file contents match selected dataset</t>
  </si>
  <si>
    <t>ADM-026</t>
  </si>
  <si>
    <t>Policies list</t>
  </si>
  <si>
    <t>1. Open Administration &gt; Automation</t>
  </si>
  <si>
    <t>Policies table: Policy Name, Asset (profile), Filters, Conditions, Actions, Trigger Time, Enabled checkbox; search + Create Policy</t>
  </si>
  <si>
    <t>ADM-027</t>
  </si>
  <si>
    <t>Create policy with schedule trigger</t>
  </si>
  <si>
    <t>1. + Create Policy: pick asset profile, condition (e.g. brightness), action (Refresh Webpage), schedule (e.g. Weekday mornings 05:00 Mon-Fri)
2. Enable</t>
  </si>
  <si>
    <t>Policy saved; fires at schedule; execution visible in Insights &gt; Ops Trigger History as user 'Automation' and in Assets &gt; Actions History</t>
  </si>
  <si>
    <t>ADM-028</t>
  </si>
  <si>
    <t>ASAP trigger policy</t>
  </si>
  <si>
    <t>1. Create policy with Trigger Time ASAP on a condition
2. Make condition true (dev)</t>
  </si>
  <si>
    <t>Action fires promptly when condition met; does not loop infinitely (cooldown respected)</t>
  </si>
  <si>
    <t>ADM-029</t>
  </si>
  <si>
    <t>Enable/disable toggle</t>
  </si>
  <si>
    <t>1. Untick Enabled on a policy</t>
  </si>
  <si>
    <t>Disabled policy stops firing; toggle state persists; audit logged</t>
  </si>
  <si>
    <t>ADM-030</t>
  </si>
  <si>
    <t>Policy filters (room scoping)</t>
  </si>
  <si>
    <t>1. Create policy with filter room_name = specific room</t>
  </si>
  <si>
    <t>Policy only affects matching room's assets</t>
  </si>
  <si>
    <t>ADM-031</t>
  </si>
  <si>
    <t>Incidents Admin</t>
  </si>
  <si>
    <t>Incident Rules list</t>
  </si>
  <si>
    <t>1. Open Administration &gt; Incidents</t>
  </si>
  <si>
    <t>Incident Rules table: Enabled toggle, Incident Name, Priority (1-10), Severity (Low+/Medium+/High+), Qty (1+/20+), Scope (Room/Zone/Global), Impact, Urgency; search + Create Rule</t>
  </si>
  <si>
    <t>ADM-032</t>
  </si>
  <si>
    <t>Create incident rule and trigger</t>
  </si>
  <si>
    <t>1. Create rule (e.g. Severity High+, Qty 1+, Scope Room, Impact High, Urgency Medium)
2. Raise matching alert(s)</t>
  </si>
  <si>
    <t>Incident auto-created with rule's impact/urgency-derived priority; scope aggregation correct (Global rule groups across rooms; Room rule one per room)</t>
  </si>
  <si>
    <t>ADM-033</t>
  </si>
  <si>
    <t>Rule priority ordering</t>
  </si>
  <si>
    <t>1. Create overlapping rules with different Priority values</t>
  </si>
  <si>
    <t>Lower/higher priority number wins per spec (confirm expected precedence); only one incident created per event set</t>
  </si>
  <si>
    <t>ADM-034</t>
  </si>
  <si>
    <t>Disable rule stops creation</t>
  </si>
  <si>
    <t>1. Disable a rule; raise matching alerts</t>
  </si>
  <si>
    <t>No incident created while disabled</t>
  </si>
  <si>
    <t>ADM-035</t>
  </si>
  <si>
    <t>Action Macros CRUD</t>
  </si>
  <si>
    <t>1. Automation &gt; Action Macros: create a macro (reusable action set); edit; delete</t>
  </si>
  <si>
    <t>Macro CRUD persists (/automation/macros); macros selectable from automation policies; delete blocked/warned if referenced</t>
  </si>
  <si>
    <t>ADM-036</t>
  </si>
  <si>
    <t>Change Freezes CRUD + alert flag</t>
  </si>
  <si>
    <t>1. Create a change freeze window covering now
2. Inspect alerts raised during the freeze</t>
  </si>
  <si>
    <t>Freeze CRUD works (/automation/change_freezes); alerts during freeze carry change_mode context; automation actions blocked during freeze</t>
  </si>
  <si>
    <t>ADM-037</t>
  </si>
  <si>
    <t>Maintenance Windows CRUD (timezone-aware)</t>
  </si>
  <si>
    <t>1. Create maintenance window in a non-UTC timezone incl. across DST
2. Verify suppression during the window</t>
  </si>
  <si>
    <t>Window times honour configured timezone (v3 used moment-tz local-&gt;UTC conversion); alerts suppressed within window; resume after</t>
  </si>
  <si>
    <t>ADM-038</t>
  </si>
  <si>
    <t>Incident setting visibility coupled to ticketing</t>
  </si>
  <si>
    <t>1. Tenant with alertConfig.ticketing=false: open Settings</t>
  </si>
  <si>
    <t>ServiceNow Auto Incident Creation toggle hidden when ticketing disabled; visible+functional when enabled; Change Mode always present with confirm dialog</t>
  </si>
  <si>
    <t>ADM-039</t>
  </si>
  <si>
    <t>App client secret shown once</t>
  </si>
  <si>
    <t>1. Create app client; capture secret; close dialog; reopen client</t>
  </si>
  <si>
    <t>Secret displayed exactly once at creation; not retrievable later; delete revokes immediately (auth fails)</t>
  </si>
  <si>
    <t>ADM-040</t>
  </si>
  <si>
    <t>Audit</t>
  </si>
  <si>
    <t>Login/logout audit events</t>
  </si>
  <si>
    <t>1. Login and logout (POST /user/login, /user/logout fired)
2. Check Audit Logs</t>
  </si>
  <si>
    <t>Both events recorded with user, timestamp, session; visible in admin audit log with filters</t>
  </si>
  <si>
    <t>RBAC &amp; Permissions — Regression Tests</t>
  </si>
  <si>
    <t>Role/permission visibility, user-group scoping, server-side enforcement</t>
  </si>
  <si>
    <t>RBC-001</t>
  </si>
  <si>
    <t>Module Visibility</t>
  </si>
  <si>
    <t>Hotlist access permission</t>
  </si>
  <si>
    <t>1. Create role without Hotlist Access; login as member</t>
  </si>
  <si>
    <t>Hotlist (Alerts+Incidents) hidden from nav; /hotlist/* URLs denied; dashboard alert widgets hidden or masked</t>
  </si>
  <si>
    <t>RBC-002</t>
  </si>
  <si>
    <t>Vitals dashboard permission</t>
  </si>
  <si>
    <t>1. Role without Vitals access</t>
  </si>
  <si>
    <t>Vitals section hidden; direct URLs denied</t>
  </si>
  <si>
    <t>RBC-003</t>
  </si>
  <si>
    <t>Insights dashboard permission</t>
  </si>
  <si>
    <t>1. Role without Insights access</t>
  </si>
  <si>
    <t>Insights hidden incl. custom insights</t>
  </si>
  <si>
    <t>RBC-004</t>
  </si>
  <si>
    <t>Asset management permission</t>
  </si>
  <si>
    <t>1. Role without Asset Management</t>
  </si>
  <si>
    <t>Assets section hidden; asset URLs denied; asset links from alerts show permission message</t>
  </si>
  <si>
    <t>RBC-005</t>
  </si>
  <si>
    <t>Room information permission</t>
  </si>
  <si>
    <t>1. Role without Room Information</t>
  </si>
  <si>
    <t>Information page hidden</t>
  </si>
  <si>
    <t>RBC-006</t>
  </si>
  <si>
    <t>Room management permission</t>
  </si>
  <si>
    <t>1. Role without Room Management</t>
  </si>
  <si>
    <t>Rooms page hidden; room support view inaccessible</t>
  </si>
  <si>
    <t>RBC-007</t>
  </si>
  <si>
    <t>Integrations management permission</t>
  </si>
  <si>
    <t>1. Role without Integrations access</t>
  </si>
  <si>
    <t>Integrations section hidden</t>
  </si>
  <si>
    <t>RBC-008</t>
  </si>
  <si>
    <t>Administration access permission</t>
  </si>
  <si>
    <t>1. Role without Administration access</t>
  </si>
  <si>
    <t>System &gt; Administration hidden; /admin/* denied</t>
  </si>
  <si>
    <t>RBC-009</t>
  </si>
  <si>
    <t>Custom Access</t>
  </si>
  <si>
    <t>Custom (granular) permission set</t>
  </si>
  <si>
    <t>1. Create custom role: read-only Hotlist + Vitals only</t>
  </si>
  <si>
    <t>Member sees exactly those modules; mutation actions (claim/resolve/create) hidden or rejected server-side</t>
  </si>
  <si>
    <t>RBC-010</t>
  </si>
  <si>
    <t>Server-side enforcement (API)</t>
  </si>
  <si>
    <t>1. As restricted user, replay an admin API call (claim alert / create incident) via devtools</t>
  </si>
  <si>
    <t>API rejects with 403 — UI hiding is not the only gate</t>
  </si>
  <si>
    <t>RBC-011</t>
  </si>
  <si>
    <t>User Groups</t>
  </si>
  <si>
    <t>User group data scoping</t>
  </si>
  <si>
    <t>1. Assign user to one user group; login</t>
  </si>
  <si>
    <t>Alerts/Assets/Rooms/Insights restricted to that group's rooms; User Group selector limited to permitted groups</t>
  </si>
  <si>
    <t>RBC-012</t>
  </si>
  <si>
    <t>Filtered view custom access</t>
  </si>
  <si>
    <t>1. Grant role access to specific saved/filtered views only</t>
  </si>
  <si>
    <t>User sees only permitted views in Recall View and Information tabs</t>
  </si>
  <si>
    <t>RBC-013</t>
  </si>
  <si>
    <t>Escalation</t>
  </si>
  <si>
    <t>Permission change takes effect</t>
  </si>
  <si>
    <t>1. Change a user's role while they are logged in</t>
  </si>
  <si>
    <t>New permissions apply on next navigation/login per spec; revoked module disappears; no stale access after re-auth</t>
  </si>
  <si>
    <t>RBC-014</t>
  </si>
  <si>
    <t>Terms</t>
  </si>
  <si>
    <t>Revoked terms re-acceptance</t>
  </si>
  <si>
    <t>1. Reset terms acceptance for a user (admin)</t>
  </si>
  <si>
    <t>User is re-prompted with Terms popup at next login and blocked until accepted</t>
  </si>
  <si>
    <t>RBC-015</t>
  </si>
  <si>
    <t>Room Manager</t>
  </si>
  <si>
    <t>Cross-app permission consistency</t>
  </si>
  <si>
    <t>1. Check Room Manager access via apps grid for restricted user</t>
  </si>
  <si>
    <t>Room Manager respects its own admin/room/template access permissions; portal grid still lists the app but access is gated in-app</t>
  </si>
  <si>
    <t>RBC-016</t>
  </si>
  <si>
    <t>Granular</t>
  </si>
  <si>
    <t>Severity-level + per-tab permission matrix</t>
  </si>
  <si>
    <t>1. Exercise the granular constants: severity-level alert perms, per-tab Vitals (incl. compliance/custom), per-tab Insights, Q-Sys subtab perms, integrations per-vendor perms</t>
  </si>
  <si>
    <t>Each permission independently gates exactly its surface (~50+ constants in src/config/permissions.ts must match backend names); no orphan permissions</t>
  </si>
  <si>
    <t>RBC-017</t>
  </si>
  <si>
    <t>Saved-view permissions per module</t>
  </si>
  <si>
    <t>1. Role without ip-hotlist-save-view / -delete-view / ip-filteredview-*-edit
2. Try saving/deleting/editing views in each module</t>
  </si>
  <si>
    <t>Save/Delete View controls hidden or rejected per-module; recall of existing views still allowed where view permission exists</t>
  </si>
  <si>
    <t>RBC-018</t>
  </si>
  <si>
    <t>BFF</t>
  </si>
  <si>
    <t>BFF performs token-validity only — backend must enforce RBAC</t>
  </si>
  <si>
    <t>1. With a valid token of a restricted user, call privileged BFF endpoints directly (e.g. POST /api/role, /api/alerts/purge)</t>
  </si>
  <si>
    <t>SECURITY: BFF has NO per-endpoint RBAC (verified in code) — the platform backend MUST return 403; if any privileged endpoint succeeds, raise CRITICAL defect</t>
  </si>
  <si>
    <t>RBC-019</t>
  </si>
  <si>
    <t>User-group + site (campus) scoping across modules</t>
  </si>
  <si>
    <t>1. As group-scoped user verify Hotlist, Vitals, Insights, Information, Rooms all re-query on group/site change</t>
  </si>
  <si>
    <t>v3 used userAvailableGroups/Campuses with reload triggers; v4 site/group filters live in query keys — every module refetches; no module shows unscoped data</t>
  </si>
  <si>
    <t>RM-Portal Consistency — Regression Tests</t>
  </si>
  <si>
    <t>Room Manager (admin.dev) is source of truth: non-Parking-Lot rooms/devices must coincide with Portal rooms/assets. Baseline 10/06/2026: 678 RM rooms, 7 Parking Lot, expected Portal = 671</t>
  </si>
  <si>
    <t>SYN-001</t>
  </si>
  <si>
    <t>Room Reconciliation</t>
  </si>
  <si>
    <t>Non-Parking-Lot room count matches Portal</t>
  </si>
  <si>
    <t>1. Room Manager (RM): note total rooms and rooms with Zone = Parking Lot (Zone column filter)
2. Portal: note total room count (Rooms page / Vitals &gt; Rooms / Consumption Active Rooms)</t>
  </si>
  <si>
    <t>Portal room count = RM total - Parking Lot count (baseline 10/06/2026: 678 - 7 = 671). Any drift is a sync defect</t>
  </si>
  <si>
    <t>SYN-002</t>
  </si>
  <si>
    <t>Room-by-room name/ID parity</t>
  </si>
  <si>
    <t>1. Export RM room list (per-zone)
2. Export Portal rooms (or query API)
3. Diff on room_id</t>
  </si>
  <si>
    <t>Every non-Parking-Lot RM room exists in Portal with identical Room ID (e.g. RM 'chatswoodl17bhr05s5' = Portal room_id) and name; Portal has no rooms missing from RM</t>
  </si>
  <si>
    <t>SYN-003</t>
  </si>
  <si>
    <t>Parking Lot rooms absent from Portal</t>
  </si>
  <si>
    <t>1. List the Parking Lot rooms in RM (7 as of baseline)
2. Search each name in Portal Rooms, Asset Register, Hotlist and Information</t>
  </si>
  <si>
    <t>No Parking Lot room appears anywhere in Portal: no room entry, no assets, no alerts, no vitals/insights contribution</t>
  </si>
  <si>
    <t>SYN-004</t>
  </si>
  <si>
    <t>Room Lifecycle</t>
  </si>
  <si>
    <t>New room deployed in RM appears in Portal</t>
  </si>
  <si>
    <t>1. RM: Add New Room (non-Parking-Lot zone), configure minimal template, Deploy
2. Wait for sync
3. Check Portal Rooms/Assets</t>
  </si>
  <si>
    <t>Room appears in Portal with its devices as assets within the sync SLA; zone/site/user group carried over</t>
  </si>
  <si>
    <t>SYN-005</t>
  </si>
  <si>
    <t>Room moved OUT of Parking Lot reappears in Portal</t>
  </si>
  <si>
    <t>1. RM: move the room back to an active zone; Deploy</t>
  </si>
  <si>
    <t>Room and devices reappear in Portal with monitoring resumed; no duplicate room entries created</t>
  </si>
  <si>
    <t>SYN-006</t>
  </si>
  <si>
    <t>Room deleted in RM is removed from Portal</t>
  </si>
  <si>
    <t>1. RM: delete a disposable test room (Options menu)
2. Check Portal</t>
  </si>
  <si>
    <t>Room and all its assets disappear from Portal; historical alerts/audit remain queryable but room is not listed as active</t>
  </si>
  <si>
    <t>SYN-007</t>
  </si>
  <si>
    <t>Device Reconciliation</t>
  </si>
  <si>
    <t>Room devices match Portal assets (spot check)</t>
  </si>
  <si>
    <t>1. RM: open room &gt; Configuration &gt; Devices; note Control + Monitoring devices (name, driver, IP)
2. Portal: Asset Register filtered to that room</t>
  </si>
  <si>
    <t>Portal assets = RM Control + Monitoring devices for the room — same names, IPs and categories. Baseline example: Chatswood-L17B-HR05-S5 has Decoder 3 (AMX, 192.168.1.0), Display 4 (NEC LCD, cloud-host), PDU 3 (APC, 192.168.1.2). NOTE: Portal currently shows suppressed alerts for 'Display 1' in this room — verify whether stale asset exists in Portal that is no longer in RM (drift!)</t>
  </si>
  <si>
    <t>SYN-008</t>
  </si>
  <si>
    <t>Tenancy-wide device-count reconciliation</t>
  </si>
  <si>
    <t>1. RM: Download CSV of devices per room (or API export across all non-Parking-Lot rooms)
2. Portal: export full Asset Register
3. Diff by asset_id/room_id</t>
  </si>
  <si>
    <t>Asset sets match 1:1 (excluding Portal-only synthetic assets, if any — document them); no orphan Portal assets pointing to RM-deleted devices, no RM devices missing in Portal</t>
  </si>
  <si>
    <t>SYN-009</t>
  </si>
  <si>
    <t>Device Lifecycle</t>
  </si>
  <si>
    <t>Device added in RM appears as Portal asset</t>
  </si>
  <si>
    <t>1. RM: room &gt; Devices &gt; Add Device + (Control or Monitoring), Deploy
2. Check Portal Asset Register for the room</t>
  </si>
  <si>
    <t>New asset appears with correct name/category/IP after sync; monitoring (Pulse/Sight) starts per driver type</t>
  </si>
  <si>
    <t>SYN-010</t>
  </si>
  <si>
    <t>Offline-group devices are not monitored</t>
  </si>
  <si>
    <t>1. RM: move a device to the Offline group; Deploy</t>
  </si>
  <si>
    <t>Portal stops alerting for the device (define: hidden vs shown-as-offline); no 'Endpoint Responding' false alarms from intentionally offline kit</t>
  </si>
  <si>
    <t>SYN-011</t>
  </si>
  <si>
    <t>Flags</t>
  </si>
  <si>
    <t>Maintenance checkbox suppresses Portal alerts</t>
  </si>
  <si>
    <t>1. RM: tick Maintenance on a room; Deploy
2. Trigger an alert on that room's devices</t>
  </si>
  <si>
    <t>Portal suppresses alerts for the room ('In Maintenance' context shown on suppressed rows); Vitals &gt; Rooms maintenance count +1; unticking resumes normal alerting</t>
  </si>
  <si>
    <t>SYN-012</t>
  </si>
  <si>
    <t>Metadata Sync</t>
  </si>
  <si>
    <t>Zone / Site / User Group parity</t>
  </si>
  <si>
    <t>1. Compare Zone, Site, User Group of 10 sample rooms in RM vs Portal (room details, asset info, filters)</t>
  </si>
  <si>
    <t>Values identical; Portal site filter and user-group scoping behave per RM assignment; changes in RM propagate on deploy</t>
  </si>
  <si>
    <t>SYN-013</t>
  </si>
  <si>
    <t>Room rename propagates</t>
  </si>
  <si>
    <t>1. RM: rename a test room; Deploy</t>
  </si>
  <si>
    <t>Portal room/asset records show new name; alert history links remain intact (no broken references)</t>
  </si>
  <si>
    <t>SYN-014</t>
  </si>
  <si>
    <t>Teams Rooms</t>
  </si>
  <si>
    <t>Microsoft Teams Rooms parity</t>
  </si>
  <si>
    <t>1. RM: open 'Microsoft Teams Rooms' panel (button top-right, badge count)
2. Portal: Integrations &gt; Microsoft Teams Room device list</t>
  </si>
  <si>
    <t>Device sets and health states coincide (RM badge count vs Portal device count); MTR devices excluded from Parking-Lot-style hiding rules unless room parked</t>
  </si>
  <si>
    <t>SYN-015</t>
  </si>
  <si>
    <t>Control Links</t>
  </si>
  <si>
    <t>Web Panel / VNC control links</t>
  </si>
  <si>
    <t>1. RM rooms list: click Web Panel / VNC links on a Space CE/VC room</t>
  </si>
  <si>
    <t>Control surfaces open and connect to the same room instance the Portal monitors (sanity: same IPs/host as Portal asset details)</t>
  </si>
  <si>
    <t>SYN-016</t>
  </si>
  <si>
    <t>Cross-Portal</t>
  </si>
  <si>
    <t>v3 portal vs v4 portal data parity</t>
  </si>
  <si>
    <t>1. Old portal (portal.dev.../home): note room count, a sample room's assets and active alert count
2. v4 portal: same checks</t>
  </si>
  <si>
    <t>Both portals (while v3 remains live) show the same underlying rooms/assets/alerts for the tenancy — they consume the same source of truth</t>
  </si>
  <si>
    <t>SYN-017</t>
  </si>
  <si>
    <t>Undeployed RM changes do NOT appear in Portal</t>
  </si>
  <si>
    <t>1. RM: edit room config / add device but do NOT Deploy (or Revert Configuration)</t>
  </si>
  <si>
    <t>Portal continues to show last-deployed state; Revert Configuration discards pending changes and Portal is unaffected</t>
  </si>
  <si>
    <t>SYN-018</t>
  </si>
  <si>
    <t>Duplicate room IDs prevented across systems</t>
  </si>
  <si>
    <t>1. RM: attempt to create a room whose Room ID matches an existing (incl. Parking Lot) room</t>
  </si>
  <si>
    <t>RM blocks duplicate IDs; Portal never receives two rooms with the same room_id</t>
  </si>
  <si>
    <t>SYN-019</t>
  </si>
  <si>
    <t>Hot reload (portable) live update path</t>
  </si>
  <si>
    <t>1. RM: on a Space VC room with Hot Reload Possible, make a config change using hot_reload=true
2. Check portal</t>
  </si>
  <si>
    <t>Hot-reload changes apply to the live room without full redeploy and reflect in Portal data after sync; non-hot-reload changes require deploy</t>
  </si>
  <si>
    <t>SYN-020</t>
  </si>
  <si>
    <t>Sight tier + inhibit_sight propagation</t>
  </si>
  <si>
    <t>1. RM: set room sight_tier (Sight/Sight+/Sight++); set inhibit_sight on one device; deploy
2. Portal: check Sight vitals/insights coverage</t>
  </si>
  <si>
    <t>Sight monitoring intensity follows tier; inhibit_sight device excluded from Sight metrics while other devices report; shadow devices handled per driver capability</t>
  </si>
  <si>
    <t>SYN-021</t>
  </si>
  <si>
    <t>UC</t>
  </si>
  <si>
    <t>Teams/Zoom association sync</t>
  </si>
  <si>
    <t>1. RM: associate a room to a Teams room (uc_rooms assignment writes teams_id/teams_admin_agent) and/or zoom_id; deploy
2. Portal: Integrations &gt; MTR (and Zoom if present)</t>
  </si>
  <si>
    <t>Associated rooms appear in the portal integration device lists; dissociation removes them; IDs match</t>
  </si>
  <si>
    <t>SYN-022</t>
  </si>
  <si>
    <t>Zones</t>
  </si>
  <si>
    <t>Information-only zones cannot host production rooms</t>
  </si>
  <si>
    <t>1. RM: attempt to create a room in a zone flagged information_only</t>
  </si>
  <si>
    <t>RM blocks creation (UI validation); no phantom rooms reach the Portal</t>
  </si>
  <si>
    <t>SYN-023</t>
  </si>
  <si>
    <t>Deploy</t>
  </si>
  <si>
    <t>Deployment progress tracking parity</t>
  </si>
  <si>
    <t>1. RM: deploy a room; watch WebSocket deployment progress (tasks/subtasks/percentage)
2. On completion check Portal</t>
  </si>
  <si>
    <t>Deployment completes (status completed, 100%); Portal reflects new state only AFTER completion — never during partial deploy; failed deploys leave Portal at last-good state</t>
  </si>
  <si>
    <t>Non-Functional — Regression Tests</t>
  </si>
  <si>
    <t>Performance, reliability, security, responsiveness, theming</t>
  </si>
  <si>
    <t>NFR-001</t>
  </si>
  <si>
    <t>Performance</t>
  </si>
  <si>
    <t>Page load budgets</t>
  </si>
  <si>
    <t>1. Measure cold load of Dashboard, Alerts, Asset Register, Rooms, each Vitals view</t>
  </si>
  <si>
    <t>Dashboard/Hotlist &lt; 10s, Vitals &lt; 10s, Hotlist tables &lt; 30s at production data volumes (3k+ alerts, 25k+ assets); Rooms list must not hit the 30s timeout</t>
  </si>
  <si>
    <t>NFR-002</t>
  </si>
  <si>
    <t>Large table interactions</t>
  </si>
  <si>
    <t>1. On Asset Register (25k rows): sort, search, paginate rapidly</t>
  </si>
  <si>
    <t>Responses &lt; 3s per interaction; no duplicate requests; UI stays responsive</t>
  </si>
  <si>
    <t>NFR-003</t>
  </si>
  <si>
    <t>Reliability</t>
  </si>
  <si>
    <t>Error boundaries recover</t>
  </si>
  <si>
    <t>1. Force a component error (known broken pages in dev)
2. Click Try again / navigate away</t>
  </si>
  <si>
    <t>Error boundary isolates the failure; Try again recovers; navigation away fully resets the boundary (currently sticks on admin pages)</t>
  </si>
  <si>
    <t>NFR-004</t>
  </si>
  <si>
    <t>API failure surfaces clearly</t>
  </si>
  <si>
    <t>1. Simulate 5xx on a module API (dev tools blocking)</t>
  </si>
  <si>
    <t>Friendly error with retry; no infinite spinner; other modules unaffected</t>
  </si>
  <si>
    <t>NFR-005</t>
  </si>
  <si>
    <t>Concurrency</t>
  </si>
  <si>
    <t>Two users acting on the same alert</t>
  </si>
  <si>
    <t>1. User A and B open same unclaimed alert
2. Both click Claim near-simultaneously</t>
  </si>
  <si>
    <t>One wins; the other gets a clear conflict/refresh message; owner field consistent</t>
  </si>
  <si>
    <t>NFR-006</t>
  </si>
  <si>
    <t>Browser</t>
  </si>
  <si>
    <t>Cross-browser smoke</t>
  </si>
  <si>
    <t>1. Run smoke set on Chrome, Edge, Firefox, Safari</t>
  </si>
  <si>
    <t>Layout and core flows work on all supported browsers</t>
  </si>
  <si>
    <t>NFR-007</t>
  </si>
  <si>
    <t>Responsive</t>
  </si>
  <si>
    <t>Half-screen and small laptop widths</t>
  </si>
  <si>
    <t>1. Resize to 1366x768 and ~50% width</t>
  </si>
  <si>
    <t>Sidebar collapses/scrolls; tables scroll horizontally; top-bar controls wrap without overlap; chat bubble doesn't cover pagination</t>
  </si>
  <si>
    <t>NFR-008</t>
  </si>
  <si>
    <t>Theme</t>
  </si>
  <si>
    <t>Dark mode coverage</t>
  </si>
  <si>
    <t>1. Enable dark mode
2. Sweep all modules incl. modals, badges, charts, empty states</t>
  </si>
  <si>
    <t>No unreadable text or white flashes; charts re-theme; severity colours keep semantic meaning</t>
  </si>
  <si>
    <t>NFR-009</t>
  </si>
  <si>
    <t>i18n/Locale</t>
  </si>
  <si>
    <t>Date/time formats consistent</t>
  </si>
  <si>
    <t>1. Compare timestamps across modules</t>
  </si>
  <si>
    <t>Consistent format and timezone (note mixed formats observed: 'dd/mm/yyyy hh:mm', ISO-8601 in Insights tables, 'Jun 7, 2026, 05:31 PM' in Ops history) — confirm intended standard</t>
  </si>
  <si>
    <t>NFR-010</t>
  </si>
  <si>
    <t>Sensitive data masked</t>
  </si>
  <si>
    <t>1. Inspect asset credentials, API responses in devtools</t>
  </si>
  <si>
    <t>Passwords/secrets never returned in plaintext to the browser; app client secrets shown once</t>
  </si>
  <si>
    <t>NFR-011</t>
  </si>
  <si>
    <t>XSS via user-supplied fields</t>
  </si>
  <si>
    <t>1. Enter &lt;script&gt;/HTML payloads in notes, incident names, saved view names, attribute values</t>
  </si>
  <si>
    <t>Rendered as text everywhere (lists, detail panes, exports); no script execution</t>
  </si>
  <si>
    <t>NFR-012</t>
  </si>
  <si>
    <t>IDOR on detail routes</t>
  </si>
  <si>
    <t>1. As restricted user, request another group's alert/asset/room detail URL by id</t>
  </si>
  <si>
    <t>403/redirect; no data in response body</t>
  </si>
  <si>
    <t>NFR-013</t>
  </si>
  <si>
    <t>Data refresh</t>
  </si>
  <si>
    <t>Auto-refresh intervals</t>
  </si>
  <si>
    <t>1. Observe Last Updated cadence across modules</t>
  </si>
  <si>
    <t>Data refreshes on the documented interval; refresh does not reset user's scroll/filters</t>
  </si>
  <si>
    <t>NFR-014</t>
  </si>
  <si>
    <t>Export integrity at volume</t>
  </si>
  <si>
    <t>1. Export 3k+ alerts and 25k assets</t>
  </si>
  <si>
    <t>Files complete and parseable; row counts match; runs as background op with progress + completion notification</t>
  </si>
  <si>
    <t>NFR-015</t>
  </si>
  <si>
    <t>Rate limiting behaviour</t>
  </si>
  <si>
    <t>1. Exceed 1000 requests/min from one IP
2. Inspect headers and recovery</t>
  </si>
  <si>
    <t>429 with retryAfter; X-RateLimit-Limit/Remaining/Reset headers present; /health exempt; limit resets after 60s window. NOTE: limiter is per-instance in-memory — multi-instance prod behaviour differs</t>
  </si>
  <si>
    <t>NFR-016</t>
  </si>
  <si>
    <t>Upstream timeout and error surface</t>
  </si>
  <si>
    <t>1. Make backend hang &gt;30s (dev block)
2. Inspect BFF response and UI toast</t>
  </si>
  <si>
    <t>BFF 30s timeout returns 502 with {error, statusCode, correlationId}; UI shows meaningful toast (not infinite spinner — cf. Rooms timeout bug); correlationId traceable in logs</t>
  </si>
  <si>
    <t>NFR-017</t>
  </si>
  <si>
    <t>Health endpoints</t>
  </si>
  <si>
    <t>1. GET /health (no auth), GET /health/deep</t>
  </si>
  <si>
    <t>/health returns ok+uptime without auth; /health/deep HEAD-checks backend + platform API (5s timeout) and returns 503 with per-check status when degraded</t>
  </si>
  <si>
    <t>NFR-018</t>
  </si>
  <si>
    <t>Request body limits</t>
  </si>
  <si>
    <t>1. POST &gt;1MB JSON body to any endpoint</t>
  </si>
  <si>
    <t>413 returned cleanly; no BFF crash; error shape consistent</t>
  </si>
  <si>
    <t>NFR-019</t>
  </si>
  <si>
    <t>Tenant filter injection on insights search (cross-tenant defense)</t>
  </si>
  <si>
    <t>1. POST /api/insights/search with a query that omits or fakes another tenant in metadata.tenant filter</t>
  </si>
  <si>
    <t>BFF injects/enforces term metadata.tenant.keyword=&lt;own tenant&gt; (idempotent); cross-tenant data never returned (defense-in-depth with platform API)</t>
  </si>
  <si>
    <t>NFR-020</t>
  </si>
  <si>
    <t>WebSocket reconnection strategy</t>
  </si>
  <si>
    <t>1. Drop the WS connection repeatedly (network toggle)
2. Observe reconnect timing</t>
  </si>
  <si>
    <t>Reconnects with exponential backoff (v3 spec: 3s doubling to 60s cap, max 20 attempts); UI indicates degraded real-time state; no message loss on resume (or full refetch)</t>
  </si>
  <si>
    <t>Known Issues &amp; Edge Cases — Regression Tests</t>
  </si>
  <si>
    <t>Live defects found 10/06/2026 + historical edge cases to keep under regression</t>
  </si>
  <si>
    <t>BUG-001</t>
  </si>
  <si>
    <t>Open Bug</t>
  </si>
  <si>
    <t>Asset detail Status tab crash</t>
  </si>
  <si>
    <t>Repro 10/06/2026 dev: Assets &gt; any asset &gt; Status tab</t>
  </si>
  <si>
    <t>'Something went wrong — e is not iterable' error boundary. Expected: live status renders. Retest after fix; add Playwright guard</t>
  </si>
  <si>
    <t>BUG-002</t>
  </si>
  <si>
    <t>Integration routes render wrong module</t>
  </si>
  <si>
    <t>Repro: deep-link /integrations/appspace or /integrations/microsoft-teams-room (and sidebar nav for Appspace)</t>
  </si>
  <si>
    <t>QSC Q-Sys module renders instead of the selected integration. Expected: each route renders its own module incl. on refresh</t>
  </si>
  <si>
    <t>BUG-003</t>
  </si>
  <si>
    <t>Rooms list/detail timeout</t>
  </si>
  <si>
    <t>Repro: Rooms page under All Sites (and with search filter)</t>
  </si>
  <si>
    <t>'Failed to load rooms — timeout of 30000ms exceeded'; room detail spinner never resolves. Expected: loads at production scale</t>
  </si>
  <si>
    <t>BUG-004</t>
  </si>
  <si>
    <t>Admin Audit Logs crash + sticky error boundary</t>
  </si>
  <si>
    <t>Repro: Administration &gt; Audit Logs</t>
  </si>
  <si>
    <t>Crash: '&lt;Select.Item /&gt; must have a value prop that is not an empty string'; boundary persists when clicking other admin items until Try again. Expected: page loads; boundary resets on route change</t>
  </si>
  <si>
    <t>BUG-005</t>
  </si>
  <si>
    <t>ServiceNow incident template not evaluated</t>
  </si>
  <si>
    <t>Repro: Incident detail INC3399369 (Room Outage)</t>
  </si>
  <si>
    <t>Description shows raw JSONata: '"Room " &amp; room.name &amp; ...'; Room Details panel stuck 'Loading room details...'. Expected: evaluated description + room panel loads</t>
  </si>
  <si>
    <t>BUG-006</t>
  </si>
  <si>
    <t>Dashboard KPI cards stuck as skeletons</t>
  </si>
  <si>
    <t>Repro: intermittent on Dashboard load (2 of 5 cards)</t>
  </si>
  <si>
    <t>Cards never resolve on some loads. Expected: all cards resolve or show explicit error</t>
  </si>
  <si>
    <t>BUG-007</t>
  </si>
  <si>
    <t>Watch</t>
  </si>
  <si>
    <t>Alert detail room link no-op</t>
  </si>
  <si>
    <t>Repro: Alert detail &gt; Room Details &gt; room name button</t>
  </si>
  <si>
    <t>Click does not navigate (likely blocked by Rooms backend issue). Expected: opens room support view</t>
  </si>
  <si>
    <t>BUG-008</t>
  </si>
  <si>
    <t>Historical</t>
  </si>
  <si>
    <t>Alert history user-group filter</t>
  </si>
  <si>
    <t>From v3 plan notes: 'user group filtering not working' on Alert History filters</t>
  </si>
  <si>
    <t>Verify v4 alert history filters by user group correctly</t>
  </si>
  <si>
    <t>BUG-009</t>
  </si>
  <si>
    <t>Alert lifecycle ordering anomalies</t>
  </si>
  <si>
    <t>From v3 plan: events must make logical sense</t>
  </si>
  <si>
    <t>No resolve-twice, no resurface-without-resolve in any alert history; add automated lifecycle-order assertion</t>
  </si>
  <si>
    <t>BUG-010</t>
  </si>
  <si>
    <t>Suppression definitions honoured</t>
  </si>
  <si>
    <t>From v3 plan: suppressed alerts correlate to definitions (In Maintenance, Is Portable)</t>
  </si>
  <si>
    <t>Suppression reasons traceable to room/asset flags; un-flagging resumes alerting</t>
  </si>
  <si>
    <t>BUG-011</t>
  </si>
  <si>
    <t>Duplicate room attributes</t>
  </si>
  <si>
    <t>Dev data has duplicate 'Camera Input' attributes</t>
  </si>
  <si>
    <t>Decide/enforce uniqueness policy; ensure Information views and conditions behave deterministically with duplicates</t>
  </si>
  <si>
    <t>BUG-012</t>
  </si>
  <si>
    <t>Lamp-hours threshold alerts</t>
  </si>
  <si>
    <t>Legacy edge case: projector lamp hour current value must increase over time in alert detail</t>
  </si>
  <si>
    <t>Current Value updates as device lamp hours increase; threshold alert resolves when lamp replaced/counter reset</t>
  </si>
  <si>
    <t>BUG-013</t>
  </si>
  <si>
    <t>Asset Register search does not filter</t>
  </si>
  <si>
    <t>Repro 10/06/2026 dev: Assets &gt; Asset Register, type a room name in 'Search assets...', press Enter</t>
  </si>
  <si>
    <t>Table remains at full 25,408 rows; no re-query fires. Expected: server-side filtered results. Blocks room-level asset reconciliation via UI</t>
  </si>
  <si>
    <t>BUG-014</t>
  </si>
  <si>
    <t>Possible RM-&gt;Portal asset drift (Display 1)</t>
  </si>
  <si>
    <t>Portal shows suppressed alerts for 'Display 1' in room Chatswood-L17B-HR05-S5, but RM Devices (Control) lists only Decoder 3, Display 4, PDU 3</t>
  </si>
  <si>
    <t>Verify whether 'Display 1' exists under RM Monitoring group; if not, Portal holds a stale asset for a device removed from RM — run the device reconciliation tests</t>
  </si>
  <si>
    <t>BUG-015</t>
  </si>
  <si>
    <t>Axis AI insights stored in-memory (BFF scaffold)</t>
  </si>
  <si>
    <t>Code: innomesh-ui-portal-bff src/lib/axis-ai-store.ts — per-user Map, max 50 insights/200 log entries, TODO real persistence</t>
  </si>
  <si>
    <t>Saved insights/query logs are LOST on BFF restart. Decide persistence approach before GA; retest after fix</t>
  </si>
  <si>
    <t>BUG-016</t>
  </si>
  <si>
    <t>BFF rate limiter is per-instance only</t>
  </si>
  <si>
    <t>Code: rate-limiter middleware uses in-memory Map per IP</t>
  </si>
  <si>
    <t>In multi-instance prod the effective limit multiplies by instance count; confirm acceptable or move to shared store</t>
  </si>
  <si>
    <t>BUG-017</t>
  </si>
  <si>
    <t>v3 deep links must not 404 in v4</t>
  </si>
  <si>
    <t>Customers have bookmarked v3 URLs (/Hotlist?room=&amp;asset=&amp;tab=, /Rooms/{id}/{name}, /Information/Detail-View/{room})</t>
  </si>
  <si>
    <t>Decide redirect mapping or document breaking change; test the common bookmarked patterns against v4 router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</si>
</sst>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sz val="22.0"/>
      <color rgb="FFFFFFFF"/>
      <name val="Arial"/>
    </font>
    <font/>
    <font>
      <i/>
      <sz val="10.0"/>
      <color rgb="FF595959"/>
      <name val="Arial"/>
    </font>
    <font>
      <sz val="10.0"/>
      <color rgb="FF595959"/>
      <name val="Arial"/>
    </font>
    <font>
      <color theme="1"/>
      <name val="Arial"/>
    </font>
    <font>
      <b/>
      <sz val="10.0"/>
      <color rgb="FFFFFFFF"/>
      <name val="Arial"/>
    </font>
    <font>
      <b/>
      <sz val="10.0"/>
      <color rgb="FF1F3864"/>
      <name val="Arial"/>
    </font>
    <font>
      <sz val="10.0"/>
      <color theme="1"/>
      <name val="Arial"/>
    </font>
    <font>
      <b/>
      <sz val="10.0"/>
      <color rgb="FF0E7C7B"/>
      <name val="Arial"/>
    </font>
    <font>
      <b/>
      <sz val="10.0"/>
      <color rgb="FFC00000"/>
      <name val="Arial"/>
    </font>
    <font>
      <b/>
      <sz val="10.0"/>
      <color rgb="FFC55A11"/>
      <name val="Arial"/>
    </font>
    <font>
      <b/>
      <sz val="10.0"/>
      <color rgb="FF2E5E9E"/>
      <name val="Arial"/>
    </font>
    <font>
      <b/>
      <sz val="10.0"/>
      <color rgb="FF6A3D9A"/>
      <name val="Arial"/>
    </font>
    <font>
      <b/>
      <sz val="10.0"/>
      <color rgb="FF2F7D32"/>
      <name val="Arial"/>
    </font>
    <font>
      <b/>
      <sz val="10.0"/>
      <color rgb="FF0B736E"/>
      <name val="Arial"/>
    </font>
    <font>
      <b/>
      <sz val="10.0"/>
      <color rgb="FF3F51B5"/>
      <name val="Arial"/>
    </font>
    <font>
      <b/>
      <sz val="10.0"/>
      <color rgb="FF8C5A2B"/>
      <name val="Arial"/>
    </font>
    <font>
      <b/>
      <sz val="10.0"/>
      <color rgb="FF7B3FBF"/>
      <name val="Arial"/>
    </font>
    <font>
      <b/>
      <sz val="10.0"/>
      <color rgb="FF404040"/>
      <name val="Arial"/>
    </font>
    <font>
      <b/>
      <sz val="10.0"/>
      <color rgb="FF7F1D1D"/>
      <name val="Arial"/>
    </font>
    <font>
      <b/>
      <sz val="10.0"/>
      <color rgb="FF00557F"/>
      <name val="Arial"/>
    </font>
    <font>
      <b/>
      <sz val="10.0"/>
      <color rgb="FF5B6B1F"/>
      <name val="Arial"/>
    </font>
    <font>
      <b/>
      <sz val="10.0"/>
      <color rgb="FF1A1A1A"/>
      <name val="Arial"/>
    </font>
    <font>
      <b/>
      <sz val="11.0"/>
      <color rgb="FFFFFFFF"/>
      <name val="Arial"/>
    </font>
    <font>
      <b/>
      <sz val="12.0"/>
      <color theme="1"/>
      <name val="Arial"/>
    </font>
    <font>
      <sz val="10.0"/>
      <color rgb="FF404040"/>
      <name val="Arial"/>
    </font>
    <font>
      <b/>
      <sz val="15.0"/>
      <color rgb="FFFFFFFF"/>
      <name val="Calibri"/>
    </font>
    <font>
      <i/>
      <sz val="10.0"/>
      <color rgb="FF595959"/>
      <name val="Calibri"/>
    </font>
    <font>
      <b/>
      <sz val="10.0"/>
      <color rgb="FFBF8F00"/>
      <name val="Arial"/>
    </font>
    <font>
      <b/>
      <sz val="10.0"/>
      <color rgb="FF595959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E7C7B"/>
        <bgColor rgb="FF0E7C7B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C55A11"/>
        <bgColor rgb="FFC55A11"/>
      </patternFill>
    </fill>
    <fill>
      <patternFill patternType="solid">
        <fgColor rgb="FF2E5E9E"/>
        <bgColor rgb="FF2E5E9E"/>
      </patternFill>
    </fill>
    <fill>
      <patternFill patternType="solid">
        <fgColor rgb="FF6A3D9A"/>
        <bgColor rgb="FF6A3D9A"/>
      </patternFill>
    </fill>
    <fill>
      <patternFill patternType="solid">
        <fgColor rgb="FF2F7D32"/>
        <bgColor rgb="FF2F7D32"/>
      </patternFill>
    </fill>
    <fill>
      <patternFill patternType="solid">
        <fgColor rgb="FF0B736E"/>
        <bgColor rgb="FF0B736E"/>
      </patternFill>
    </fill>
    <fill>
      <patternFill patternType="solid">
        <fgColor rgb="FF3F51B5"/>
        <bgColor rgb="FF3F51B5"/>
      </patternFill>
    </fill>
    <fill>
      <patternFill patternType="solid">
        <fgColor rgb="FF8C5A2B"/>
        <bgColor rgb="FF8C5A2B"/>
      </patternFill>
    </fill>
    <fill>
      <patternFill patternType="solid">
        <fgColor rgb="FF7B3FBF"/>
        <bgColor rgb="FF7B3FBF"/>
      </patternFill>
    </fill>
    <fill>
      <patternFill patternType="solid">
        <fgColor rgb="FF404040"/>
        <bgColor rgb="FF404040"/>
      </patternFill>
    </fill>
    <fill>
      <patternFill patternType="solid">
        <fgColor rgb="FF7F1D1D"/>
        <bgColor rgb="FF7F1D1D"/>
      </patternFill>
    </fill>
    <fill>
      <patternFill patternType="solid">
        <fgColor rgb="FF00557F"/>
        <bgColor rgb="FF00557F"/>
      </patternFill>
    </fill>
    <fill>
      <patternFill patternType="solid">
        <fgColor rgb="FF5B6B1F"/>
        <bgColor rgb="FF5B6B1F"/>
      </patternFill>
    </fill>
    <fill>
      <patternFill patternType="solid">
        <fgColor rgb="FF1A1A1A"/>
        <bgColor rgb="FF1A1A1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5" numFmtId="0" xfId="0" applyFont="1"/>
    <xf borderId="4" fillId="3" fontId="6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 vertical="center"/>
    </xf>
    <xf borderId="4" fillId="0" fontId="8" numFmtId="9" xfId="0" applyAlignment="1" applyBorder="1" applyFont="1" applyNumberFormat="1">
      <alignment horizontal="center" vertical="center"/>
    </xf>
    <xf borderId="4" fillId="4" fontId="9" numFmtId="0" xfId="0" applyAlignment="1" applyBorder="1" applyFill="1" applyFont="1">
      <alignment horizontal="left" vertical="center"/>
    </xf>
    <xf borderId="4" fillId="4" fontId="8" numFmtId="0" xfId="0" applyAlignment="1" applyBorder="1" applyFont="1">
      <alignment horizontal="center" vertical="center"/>
    </xf>
    <xf borderId="4" fillId="4" fontId="8" numFmtId="9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left" vertical="center"/>
    </xf>
    <xf borderId="4" fillId="4" fontId="11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left" vertical="center"/>
    </xf>
    <xf borderId="4" fillId="4" fontId="13" numFmtId="0" xfId="0" applyAlignment="1" applyBorder="1" applyFont="1">
      <alignment horizontal="left" vertical="center"/>
    </xf>
    <xf borderId="4" fillId="0" fontId="14" numFmtId="0" xfId="0" applyAlignment="1" applyBorder="1" applyFont="1">
      <alignment horizontal="left" vertical="center"/>
    </xf>
    <xf borderId="4" fillId="4" fontId="15" numFmtId="0" xfId="0" applyAlignment="1" applyBorder="1" applyFont="1">
      <alignment horizontal="left" vertical="center"/>
    </xf>
    <xf borderId="4" fillId="0" fontId="16" numFmtId="0" xfId="0" applyAlignment="1" applyBorder="1" applyFont="1">
      <alignment horizontal="left" vertical="center"/>
    </xf>
    <xf borderId="4" fillId="4" fontId="17" numFmtId="0" xfId="0" applyAlignment="1" applyBorder="1" applyFont="1">
      <alignment horizontal="left" vertical="center"/>
    </xf>
    <xf borderId="4" fillId="0" fontId="18" numFmtId="0" xfId="0" applyAlignment="1" applyBorder="1" applyFont="1">
      <alignment horizontal="left" vertical="center"/>
    </xf>
    <xf borderId="4" fillId="4" fontId="19" numFmtId="0" xfId="0" applyAlignment="1" applyBorder="1" applyFont="1">
      <alignment horizontal="left" vertical="center"/>
    </xf>
    <xf borderId="4" fillId="0" fontId="20" numFmtId="0" xfId="0" applyAlignment="1" applyBorder="1" applyFont="1">
      <alignment horizontal="left" vertical="center"/>
    </xf>
    <xf borderId="4" fillId="4" fontId="21" numFmtId="0" xfId="0" applyAlignment="1" applyBorder="1" applyFont="1">
      <alignment horizontal="left" vertical="center"/>
    </xf>
    <xf borderId="4" fillId="0" fontId="22" numFmtId="0" xfId="0" applyAlignment="1" applyBorder="1" applyFont="1">
      <alignment horizontal="left" vertical="center"/>
    </xf>
    <xf borderId="4" fillId="4" fontId="23" numFmtId="0" xfId="0" applyAlignment="1" applyBorder="1" applyFont="1">
      <alignment horizontal="left" vertical="center"/>
    </xf>
    <xf borderId="4" fillId="2" fontId="24" numFmtId="0" xfId="0" applyAlignment="1" applyBorder="1" applyFont="1">
      <alignment horizontal="left" vertical="center"/>
    </xf>
    <xf borderId="4" fillId="2" fontId="24" numFmtId="0" xfId="0" applyAlignment="1" applyBorder="1" applyFont="1">
      <alignment horizontal="center" vertical="center"/>
    </xf>
    <xf borderId="4" fillId="2" fontId="24" numFmtId="9" xfId="0" applyAlignment="1" applyBorder="1" applyFont="1" applyNumberFormat="1">
      <alignment horizontal="center" vertical="center"/>
    </xf>
    <xf borderId="0" fillId="0" fontId="25" numFmtId="0" xfId="0" applyFont="1"/>
    <xf borderId="0" fillId="0" fontId="26" numFmtId="0" xfId="0" applyFont="1"/>
    <xf borderId="1" fillId="3" fontId="27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4" fillId="0" fontId="8" numFmtId="0" xfId="0" applyAlignment="1" applyBorder="1" applyFont="1">
      <alignment horizontal="center" vertical="top"/>
    </xf>
    <xf borderId="4" fillId="0" fontId="8" numFmtId="0" xfId="0" applyAlignment="1" applyBorder="1" applyFont="1">
      <alignment horizontal="left" shrinkToFit="0" vertical="top" wrapText="1"/>
    </xf>
    <xf borderId="4" fillId="0" fontId="10" numFmtId="0" xfId="0" applyAlignment="1" applyBorder="1" applyFont="1">
      <alignment horizontal="center" vertical="top"/>
    </xf>
    <xf borderId="4" fillId="0" fontId="8" numFmtId="0" xfId="0" applyAlignment="1" applyBorder="1" applyFont="1">
      <alignment horizontal="center" readingOrder="0" vertical="top"/>
    </xf>
    <xf borderId="4" fillId="0" fontId="8" numFmtId="0" xfId="0" applyAlignment="1" applyBorder="1" applyFont="1">
      <alignment horizontal="left" vertical="top"/>
    </xf>
    <xf borderId="4" fillId="4" fontId="8" numFmtId="0" xfId="0" applyAlignment="1" applyBorder="1" applyFont="1">
      <alignment horizontal="center" vertical="top"/>
    </xf>
    <xf borderId="4" fillId="4" fontId="8" numFmtId="0" xfId="0" applyAlignment="1" applyBorder="1" applyFont="1">
      <alignment horizontal="left" shrinkToFit="0" vertical="top" wrapText="1"/>
    </xf>
    <xf borderId="4" fillId="4" fontId="10" numFmtId="0" xfId="0" applyAlignment="1" applyBorder="1" applyFont="1">
      <alignment horizontal="center" vertical="top"/>
    </xf>
    <xf borderId="4" fillId="4" fontId="8" numFmtId="0" xfId="0" applyAlignment="1" applyBorder="1" applyFont="1">
      <alignment horizontal="left" vertical="top"/>
    </xf>
    <xf borderId="4" fillId="4" fontId="29" numFmtId="0" xfId="0" applyAlignment="1" applyBorder="1" applyFont="1">
      <alignment horizontal="center" vertical="top"/>
    </xf>
    <xf borderId="4" fillId="0" fontId="29" numFmtId="0" xfId="0" applyAlignment="1" applyBorder="1" applyFont="1">
      <alignment horizontal="center" vertical="top"/>
    </xf>
    <xf borderId="4" fillId="4" fontId="30" numFmtId="0" xfId="0" applyAlignment="1" applyBorder="1" applyFont="1">
      <alignment horizontal="center" vertical="top"/>
    </xf>
    <xf borderId="4" fillId="0" fontId="30" numFmtId="0" xfId="0" applyAlignment="1" applyBorder="1" applyFont="1">
      <alignment horizontal="center" vertical="top"/>
    </xf>
    <xf borderId="1" fillId="2" fontId="27" numFmtId="0" xfId="0" applyAlignment="1" applyBorder="1" applyFont="1">
      <alignment vertical="center"/>
    </xf>
    <xf borderId="4" fillId="2" fontId="6" numFmtId="0" xfId="0" applyAlignment="1" applyBorder="1" applyFont="1">
      <alignment horizontal="center" shrinkToFit="0" vertical="center" wrapText="1"/>
    </xf>
    <xf borderId="1" fillId="5" fontId="27" numFmtId="0" xfId="0" applyAlignment="1" applyBorder="1" applyFill="1" applyFont="1">
      <alignment vertical="center"/>
    </xf>
    <xf borderId="4" fillId="5" fontId="6" numFmtId="0" xfId="0" applyAlignment="1" applyBorder="1" applyFont="1">
      <alignment horizontal="center" shrinkToFit="0" vertical="center" wrapText="1"/>
    </xf>
    <xf borderId="1" fillId="6" fontId="27" numFmtId="0" xfId="0" applyAlignment="1" applyBorder="1" applyFill="1" applyFont="1">
      <alignment vertical="center"/>
    </xf>
    <xf borderId="4" fillId="6" fontId="6" numFmtId="0" xfId="0" applyAlignment="1" applyBorder="1" applyFont="1">
      <alignment horizontal="center" shrinkToFit="0" vertical="center" wrapText="1"/>
    </xf>
    <xf borderId="1" fillId="7" fontId="27" numFmtId="0" xfId="0" applyAlignment="1" applyBorder="1" applyFill="1" applyFont="1">
      <alignment vertical="center"/>
    </xf>
    <xf borderId="4" fillId="7" fontId="6" numFmtId="0" xfId="0" applyAlignment="1" applyBorder="1" applyFont="1">
      <alignment horizontal="center" shrinkToFit="0" vertical="center" wrapText="1"/>
    </xf>
    <xf borderId="1" fillId="8" fontId="27" numFmtId="0" xfId="0" applyAlignment="1" applyBorder="1" applyFill="1" applyFont="1">
      <alignment vertical="center"/>
    </xf>
    <xf borderId="4" fillId="8" fontId="6" numFmtId="0" xfId="0" applyAlignment="1" applyBorder="1" applyFont="1">
      <alignment horizontal="center" shrinkToFit="0" vertical="center" wrapText="1"/>
    </xf>
    <xf borderId="1" fillId="9" fontId="27" numFmtId="0" xfId="0" applyAlignment="1" applyBorder="1" applyFill="1" applyFont="1">
      <alignment vertical="center"/>
    </xf>
    <xf borderId="4" fillId="9" fontId="6" numFmtId="0" xfId="0" applyAlignment="1" applyBorder="1" applyFont="1">
      <alignment horizontal="center" shrinkToFit="0" vertical="center" wrapText="1"/>
    </xf>
    <xf borderId="1" fillId="10" fontId="27" numFmtId="0" xfId="0" applyAlignment="1" applyBorder="1" applyFill="1" applyFont="1">
      <alignment vertical="center"/>
    </xf>
    <xf borderId="4" fillId="10" fontId="6" numFmtId="0" xfId="0" applyAlignment="1" applyBorder="1" applyFont="1">
      <alignment horizontal="center" shrinkToFit="0" vertical="center" wrapText="1"/>
    </xf>
    <xf borderId="1" fillId="11" fontId="27" numFmtId="0" xfId="0" applyAlignment="1" applyBorder="1" applyFill="1" applyFont="1">
      <alignment vertical="center"/>
    </xf>
    <xf borderId="4" fillId="11" fontId="6" numFmtId="0" xfId="0" applyAlignment="1" applyBorder="1" applyFont="1">
      <alignment horizontal="center" shrinkToFit="0" vertical="center" wrapText="1"/>
    </xf>
    <xf borderId="1" fillId="12" fontId="27" numFmtId="0" xfId="0" applyAlignment="1" applyBorder="1" applyFill="1" applyFont="1">
      <alignment vertical="center"/>
    </xf>
    <xf borderId="4" fillId="12" fontId="6" numFmtId="0" xfId="0" applyAlignment="1" applyBorder="1" applyFont="1">
      <alignment horizontal="center" shrinkToFit="0" vertical="center" wrapText="1"/>
    </xf>
    <xf borderId="1" fillId="13" fontId="27" numFmtId="0" xfId="0" applyAlignment="1" applyBorder="1" applyFill="1" applyFont="1">
      <alignment vertical="center"/>
    </xf>
    <xf borderId="4" fillId="13" fontId="6" numFmtId="0" xfId="0" applyAlignment="1" applyBorder="1" applyFont="1">
      <alignment horizontal="center" shrinkToFit="0" vertical="center" wrapText="1"/>
    </xf>
    <xf borderId="1" fillId="14" fontId="27" numFmtId="0" xfId="0" applyAlignment="1" applyBorder="1" applyFill="1" applyFont="1">
      <alignment vertical="center"/>
    </xf>
    <xf borderId="4" fillId="14" fontId="6" numFmtId="0" xfId="0" applyAlignment="1" applyBorder="1" applyFont="1">
      <alignment horizontal="center" shrinkToFit="0" vertical="center" wrapText="1"/>
    </xf>
    <xf borderId="1" fillId="15" fontId="27" numFmtId="0" xfId="0" applyAlignment="1" applyBorder="1" applyFill="1" applyFont="1">
      <alignment vertical="center"/>
    </xf>
    <xf borderId="4" fillId="15" fontId="6" numFmtId="0" xfId="0" applyAlignment="1" applyBorder="1" applyFont="1">
      <alignment horizontal="center" shrinkToFit="0" vertical="center" wrapText="1"/>
    </xf>
    <xf borderId="1" fillId="16" fontId="27" numFmtId="0" xfId="0" applyAlignment="1" applyBorder="1" applyFill="1" applyFont="1">
      <alignment vertical="center"/>
    </xf>
    <xf borderId="4" fillId="16" fontId="6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readingOrder="0" vertical="top"/>
    </xf>
    <xf borderId="1" fillId="17" fontId="27" numFmtId="0" xfId="0" applyAlignment="1" applyBorder="1" applyFill="1" applyFont="1">
      <alignment vertical="center"/>
    </xf>
    <xf borderId="4" fillId="17" fontId="6" numFmtId="0" xfId="0" applyAlignment="1" applyBorder="1" applyFont="1">
      <alignment horizontal="center" shrinkToFit="0" vertical="center" wrapText="1"/>
    </xf>
    <xf borderId="1" fillId="18" fontId="27" numFmtId="0" xfId="0" applyAlignment="1" applyBorder="1" applyFill="1" applyFont="1">
      <alignment vertical="center"/>
    </xf>
    <xf borderId="4" fillId="18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>
        <sz val="10.0"/>
        <color rgb="FF006100"/>
        <name val="Calibri"/>
      </font>
      <fill>
        <patternFill patternType="solid">
          <fgColor rgb="FFC6EFCE"/>
          <bgColor rgb="FFC6EFCE"/>
        </patternFill>
      </fill>
      <border/>
    </dxf>
    <dxf>
      <font>
        <sz val="10.0"/>
        <color rgb="FF9C0006"/>
        <name val="Calibri"/>
      </font>
      <fill>
        <patternFill patternType="solid">
          <fgColor rgb="FFFFC7CE"/>
          <bgColor rgb="FFFFC7CE"/>
        </patternFill>
      </fill>
      <border/>
    </dxf>
    <dxf>
      <font>
        <sz val="10.0"/>
        <color rgb="FF9C6500"/>
        <name val="Calibri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8" width="11.0"/>
    <col customWidth="1" min="9" max="9" width="12.0"/>
    <col customWidth="1" min="10" max="10" width="18.0"/>
    <col customWidth="1" min="11" max="26" width="9.0"/>
  </cols>
  <sheetData>
    <row r="2" ht="39.75" customHeight="1">
      <c r="B2" s="1" t="s">
        <v>0</v>
      </c>
      <c r="C2" s="2"/>
      <c r="D2" s="2"/>
      <c r="E2" s="2"/>
      <c r="F2" s="2"/>
      <c r="G2" s="2"/>
      <c r="H2" s="2"/>
      <c r="I2" s="2"/>
      <c r="J2" s="3"/>
    </row>
    <row r="3">
      <c r="B3" s="4" t="s">
        <v>1</v>
      </c>
    </row>
    <row r="4" ht="27.75" customHeight="1">
      <c r="B4" s="5" t="s">
        <v>2</v>
      </c>
    </row>
    <row r="5">
      <c r="B5" s="6"/>
      <c r="C5" s="6"/>
      <c r="D5" s="6"/>
      <c r="E5" s="6"/>
      <c r="F5" s="6"/>
      <c r="G5" s="6"/>
      <c r="H5" s="6"/>
      <c r="I5" s="6"/>
      <c r="J5" s="6"/>
    </row>
    <row r="6" ht="24.0" customHeight="1"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>
      <c r="B7" s="8" t="s">
        <v>12</v>
      </c>
      <c r="C7" s="9">
        <f>COUNTA('Global &amp; Navigation'!$A$5:$A$39)</f>
        <v>35</v>
      </c>
      <c r="D7" s="9">
        <f>COUNTIF('Global &amp; Navigation'!$F$5:$F$39,"P1")</f>
        <v>11</v>
      </c>
      <c r="E7" s="9">
        <f>COUNTIF('Global &amp; Navigation'!$I$5:$I$39,"Pass")</f>
        <v>0</v>
      </c>
      <c r="F7" s="9">
        <f>COUNTIF('Global &amp; Navigation'!$I$5:$I$39,"Fail")</f>
        <v>0</v>
      </c>
      <c r="G7" s="9">
        <f>COUNTIF('Global &amp; Navigation'!$I$5:$I$39,"Blocked")</f>
        <v>0</v>
      </c>
      <c r="H7" s="9">
        <f>COUNTIF('Global &amp; Navigation'!$I$5:$I$39,"Not Tested")</f>
        <v>35</v>
      </c>
      <c r="I7" s="10">
        <f t="shared" ref="I7:I23" si="1">IF(C7=0,0,(C7-H7)/C7)</f>
        <v>0</v>
      </c>
      <c r="J7" s="10">
        <f t="shared" ref="J7:J23" si="2">IF((C7-H7)=0,0,E7/(C7-H7))</f>
        <v>0</v>
      </c>
    </row>
    <row r="8">
      <c r="B8" s="11" t="s">
        <v>13</v>
      </c>
      <c r="C8" s="12">
        <f>COUNTA(Dashboard!$A$5:$A$19)</f>
        <v>15</v>
      </c>
      <c r="D8" s="12">
        <f>COUNTIF(Dashboard!$F$5:$F$19,"P1")</f>
        <v>6</v>
      </c>
      <c r="E8" s="12">
        <f>COUNTIF(Dashboard!$I$5:$I$19,"Pass")</f>
        <v>0</v>
      </c>
      <c r="F8" s="12">
        <f>COUNTIF(Dashboard!$I$5:$I$19,"Fail")</f>
        <v>0</v>
      </c>
      <c r="G8" s="12">
        <f>COUNTIF(Dashboard!$I$5:$I$19,"Blocked")</f>
        <v>0</v>
      </c>
      <c r="H8" s="12">
        <f>COUNTIF(Dashboard!$I$5:$I$19,"Not Tested")</f>
        <v>15</v>
      </c>
      <c r="I8" s="13">
        <f t="shared" si="1"/>
        <v>0</v>
      </c>
      <c r="J8" s="13">
        <f t="shared" si="2"/>
        <v>0</v>
      </c>
    </row>
    <row r="9">
      <c r="B9" s="14" t="s">
        <v>14</v>
      </c>
      <c r="C9" s="9">
        <f>COUNTA('Alerts (Hotlist)'!$A$5:$A$52)</f>
        <v>48</v>
      </c>
      <c r="D9" s="9">
        <f>COUNTIF('Alerts (Hotlist)'!$F$5:$F$52,"P1")</f>
        <v>23</v>
      </c>
      <c r="E9" s="9">
        <f>COUNTIF('Alerts (Hotlist)'!$I$5:$I$52,"Pass")</f>
        <v>0</v>
      </c>
      <c r="F9" s="9">
        <f>COUNTIF('Alerts (Hotlist)'!$I$5:$I$52,"Fail")</f>
        <v>0</v>
      </c>
      <c r="G9" s="9">
        <f>COUNTIF('Alerts (Hotlist)'!$I$5:$I$52,"Blocked")</f>
        <v>0</v>
      </c>
      <c r="H9" s="9">
        <f>COUNTIF('Alerts (Hotlist)'!$I$5:$I$52,"Not Tested")</f>
        <v>48</v>
      </c>
      <c r="I9" s="10">
        <f t="shared" si="1"/>
        <v>0</v>
      </c>
      <c r="J9" s="10">
        <f t="shared" si="2"/>
        <v>0</v>
      </c>
    </row>
    <row r="10">
      <c r="B10" s="15" t="s">
        <v>15</v>
      </c>
      <c r="C10" s="12">
        <f>COUNTA('Incidents (Hotlist)'!$A$5:$A$27)</f>
        <v>23</v>
      </c>
      <c r="D10" s="12">
        <f>COUNTIF('Incidents (Hotlist)'!$F$5:$F$27,"P1")</f>
        <v>15</v>
      </c>
      <c r="E10" s="12">
        <f>COUNTIF('Incidents (Hotlist)'!$I$5:$I$27,"Pass")</f>
        <v>0</v>
      </c>
      <c r="F10" s="12">
        <f>COUNTIF('Incidents (Hotlist)'!$I$5:$I$27,"Fail")</f>
        <v>0</v>
      </c>
      <c r="G10" s="12">
        <f>COUNTIF('Incidents (Hotlist)'!$I$5:$I$27,"Blocked")</f>
        <v>0</v>
      </c>
      <c r="H10" s="12">
        <f>COUNTIF('Incidents (Hotlist)'!$I$5:$I$27,"Not Tested")</f>
        <v>23</v>
      </c>
      <c r="I10" s="13">
        <f t="shared" si="1"/>
        <v>0</v>
      </c>
      <c r="J10" s="13">
        <f t="shared" si="2"/>
        <v>0</v>
      </c>
    </row>
    <row r="11">
      <c r="B11" s="16" t="s">
        <v>16</v>
      </c>
      <c r="C11" s="9">
        <f>COUNTA(Vitals!$A$5:$A$25)</f>
        <v>21</v>
      </c>
      <c r="D11" s="9">
        <f>COUNTIF(Vitals!$F$5:$F$25,"P1")</f>
        <v>11</v>
      </c>
      <c r="E11" s="9">
        <f>COUNTIF(Vitals!$I$5:$I$25,"Pass")</f>
        <v>0</v>
      </c>
      <c r="F11" s="9">
        <f>COUNTIF(Vitals!$I$5:$I$25,"Fail")</f>
        <v>0</v>
      </c>
      <c r="G11" s="9">
        <f>COUNTIF(Vitals!$I$5:$I$25,"Blocked")</f>
        <v>0</v>
      </c>
      <c r="H11" s="9">
        <f>COUNTIF(Vitals!$I$5:$I$25,"Not Tested")</f>
        <v>21</v>
      </c>
      <c r="I11" s="10">
        <f t="shared" si="1"/>
        <v>0</v>
      </c>
      <c r="J11" s="10">
        <f t="shared" si="2"/>
        <v>0</v>
      </c>
    </row>
    <row r="12">
      <c r="B12" s="17" t="s">
        <v>17</v>
      </c>
      <c r="C12" s="12">
        <f>COUNTA(Insights!$A$5:$A$21)</f>
        <v>17</v>
      </c>
      <c r="D12" s="12">
        <f>COUNTIF(Insights!$F$5:$F$21,"P1")</f>
        <v>6</v>
      </c>
      <c r="E12" s="12">
        <f>COUNTIF(Insights!$I$5:$I$21,"Pass")</f>
        <v>0</v>
      </c>
      <c r="F12" s="12">
        <f>COUNTIF(Insights!$I$5:$I$21,"Fail")</f>
        <v>0</v>
      </c>
      <c r="G12" s="12">
        <f>COUNTIF(Insights!$I$5:$I$21,"Blocked")</f>
        <v>0</v>
      </c>
      <c r="H12" s="12">
        <f>COUNTIF(Insights!$I$5:$I$21,"Not Tested")</f>
        <v>17</v>
      </c>
      <c r="I12" s="13">
        <f t="shared" si="1"/>
        <v>0</v>
      </c>
      <c r="J12" s="13">
        <f t="shared" si="2"/>
        <v>0</v>
      </c>
    </row>
    <row r="13">
      <c r="B13" s="18" t="s">
        <v>18</v>
      </c>
      <c r="C13" s="9">
        <f>COUNTA(Assets!$A$5:$A$27)</f>
        <v>23</v>
      </c>
      <c r="D13" s="9">
        <f>COUNTIF(Assets!$F$5:$F$27,"P1")</f>
        <v>13</v>
      </c>
      <c r="E13" s="9">
        <f>COUNTIF(Assets!$I$5:$I$27,"Pass")</f>
        <v>0</v>
      </c>
      <c r="F13" s="9">
        <f>COUNTIF(Assets!$I$5:$I$27,"Fail")</f>
        <v>0</v>
      </c>
      <c r="G13" s="9">
        <f>COUNTIF(Assets!$I$5:$I$27,"Blocked")</f>
        <v>0</v>
      </c>
      <c r="H13" s="9">
        <f>COUNTIF(Assets!$I$5:$I$27,"Not Tested")</f>
        <v>23</v>
      </c>
      <c r="I13" s="10">
        <f t="shared" si="1"/>
        <v>0</v>
      </c>
      <c r="J13" s="10">
        <f t="shared" si="2"/>
        <v>0</v>
      </c>
    </row>
    <row r="14">
      <c r="B14" s="19" t="s">
        <v>19</v>
      </c>
      <c r="C14" s="12">
        <f>COUNTA(Information!$A$5:$A$16)</f>
        <v>12</v>
      </c>
      <c r="D14" s="12">
        <f>COUNTIF(Information!$F$5:$F$16,"P1")</f>
        <v>5</v>
      </c>
      <c r="E14" s="12">
        <f>COUNTIF(Information!$I$5:$I$16,"Pass")</f>
        <v>0</v>
      </c>
      <c r="F14" s="12">
        <f>COUNTIF(Information!$I$5:$I$16,"Fail")</f>
        <v>0</v>
      </c>
      <c r="G14" s="12">
        <f>COUNTIF(Information!$I$5:$I$16,"Blocked")</f>
        <v>0</v>
      </c>
      <c r="H14" s="12">
        <f>COUNTIF(Information!$I$5:$I$16,"Not Tested")</f>
        <v>12</v>
      </c>
      <c r="I14" s="13">
        <f t="shared" si="1"/>
        <v>0</v>
      </c>
      <c r="J14" s="13">
        <f t="shared" si="2"/>
        <v>0</v>
      </c>
    </row>
    <row r="15">
      <c r="B15" s="20" t="s">
        <v>20</v>
      </c>
      <c r="C15" s="9">
        <f>COUNTA(Integrations!$A$5:$A$18)</f>
        <v>14</v>
      </c>
      <c r="D15" s="9">
        <f>COUNTIF(Integrations!$F$5:$F$18,"P1")</f>
        <v>6</v>
      </c>
      <c r="E15" s="9">
        <f>COUNTIF(Integrations!$I$5:$I$18,"Pass")</f>
        <v>0</v>
      </c>
      <c r="F15" s="9">
        <f>COUNTIF(Integrations!$I$5:$I$18,"Fail")</f>
        <v>0</v>
      </c>
      <c r="G15" s="9">
        <f>COUNTIF(Integrations!$I$5:$I$18,"Blocked")</f>
        <v>0</v>
      </c>
      <c r="H15" s="9">
        <f>COUNTIF(Integrations!$I$5:$I$18,"Not Tested")</f>
        <v>14</v>
      </c>
      <c r="I15" s="10">
        <f t="shared" si="1"/>
        <v>0</v>
      </c>
      <c r="J15" s="10">
        <f t="shared" si="2"/>
        <v>0</v>
      </c>
    </row>
    <row r="16">
      <c r="B16" s="21" t="s">
        <v>21</v>
      </c>
      <c r="C16" s="12">
        <f>COUNTA(Rooms!$A$5:$A$25)</f>
        <v>21</v>
      </c>
      <c r="D16" s="12">
        <f>COUNTIF(Rooms!$F$5:$F$25,"P1")</f>
        <v>12</v>
      </c>
      <c r="E16" s="12">
        <f>COUNTIF(Rooms!$I$5:$I$25,"Pass")</f>
        <v>0</v>
      </c>
      <c r="F16" s="12">
        <f>COUNTIF(Rooms!$I$5:$I$25,"Fail")</f>
        <v>0</v>
      </c>
      <c r="G16" s="12">
        <f>COUNTIF(Rooms!$I$5:$I$25,"Blocked")</f>
        <v>0</v>
      </c>
      <c r="H16" s="12">
        <f>COUNTIF(Rooms!$I$5:$I$25,"Not Tested")</f>
        <v>21</v>
      </c>
      <c r="I16" s="13">
        <f t="shared" si="1"/>
        <v>0</v>
      </c>
      <c r="J16" s="13">
        <f t="shared" si="2"/>
        <v>0</v>
      </c>
    </row>
    <row r="17">
      <c r="B17" s="22" t="s">
        <v>22</v>
      </c>
      <c r="C17" s="9">
        <f>COUNTA('Axis AI'!$A$5:$A$16)</f>
        <v>12</v>
      </c>
      <c r="D17" s="9">
        <f>COUNTIF('Axis AI'!$F$5:$F$16,"P1")</f>
        <v>4</v>
      </c>
      <c r="E17" s="9">
        <f>COUNTIF('Axis AI'!$I$5:$I$16,"Pass")</f>
        <v>0</v>
      </c>
      <c r="F17" s="9">
        <f>COUNTIF('Axis AI'!$I$5:$I$16,"Fail")</f>
        <v>0</v>
      </c>
      <c r="G17" s="9">
        <f>COUNTIF('Axis AI'!$I$5:$I$16,"Blocked")</f>
        <v>0</v>
      </c>
      <c r="H17" s="9">
        <f>COUNTIF('Axis AI'!$I$5:$I$16,"Not Tested")</f>
        <v>12</v>
      </c>
      <c r="I17" s="10">
        <f t="shared" si="1"/>
        <v>0</v>
      </c>
      <c r="J17" s="10">
        <f t="shared" si="2"/>
        <v>0</v>
      </c>
    </row>
    <row r="18">
      <c r="B18" s="23" t="s">
        <v>23</v>
      </c>
      <c r="C18" s="12">
        <f>COUNTA(Administration!$A$5:$A$44)</f>
        <v>40</v>
      </c>
      <c r="D18" s="12">
        <f>COUNTIF(Administration!$F$5:$F$44,"P1")</f>
        <v>28</v>
      </c>
      <c r="E18" s="12">
        <f>COUNTIF(Administration!$I$5:$I$44,"Pass")</f>
        <v>0</v>
      </c>
      <c r="F18" s="12">
        <f>COUNTIF(Administration!$I$5:$I$44,"Fail")</f>
        <v>0</v>
      </c>
      <c r="G18" s="12">
        <f>COUNTIF(Administration!$I$5:$I$44,"Blocked")</f>
        <v>0</v>
      </c>
      <c r="H18" s="12">
        <f>COUNTIF(Administration!$I$5:$I$44,"Not Tested")</f>
        <v>40</v>
      </c>
      <c r="I18" s="13">
        <f t="shared" si="1"/>
        <v>0</v>
      </c>
      <c r="J18" s="13">
        <f t="shared" si="2"/>
        <v>0</v>
      </c>
    </row>
    <row r="19">
      <c r="B19" s="24" t="s">
        <v>24</v>
      </c>
      <c r="C19" s="9">
        <f>COUNTA('RBAC &amp; Permissions'!$A$5:$A$23)</f>
        <v>19</v>
      </c>
      <c r="D19" s="9">
        <f>COUNTIF('RBAC &amp; Permissions'!$F$5:$F$23,"P1")</f>
        <v>14</v>
      </c>
      <c r="E19" s="9">
        <f>COUNTIF('RBAC &amp; Permissions'!$I$5:$I$23,"Pass")</f>
        <v>0</v>
      </c>
      <c r="F19" s="9">
        <f>COUNTIF('RBAC &amp; Permissions'!$I$5:$I$23,"Fail")</f>
        <v>0</v>
      </c>
      <c r="G19" s="9">
        <f>COUNTIF('RBAC &amp; Permissions'!$I$5:$I$23,"Blocked")</f>
        <v>0</v>
      </c>
      <c r="H19" s="9">
        <f>COUNTIF('RBAC &amp; Permissions'!$I$5:$I$23,"Not Tested")</f>
        <v>19</v>
      </c>
      <c r="I19" s="10">
        <f t="shared" si="1"/>
        <v>0</v>
      </c>
      <c r="J19" s="10">
        <f t="shared" si="2"/>
        <v>0</v>
      </c>
    </row>
    <row r="20">
      <c r="B20" s="25" t="s">
        <v>25</v>
      </c>
      <c r="C20" s="12">
        <f>COUNTA('RM-Portal Consistency'!$A$5:$A$27)</f>
        <v>23</v>
      </c>
      <c r="D20" s="12">
        <f>COUNTIF('RM-Portal Consistency'!$F$5:$F$27,"P1")</f>
        <v>11</v>
      </c>
      <c r="E20" s="12">
        <f>COUNTIF('RM-Portal Consistency'!$I$5:$I$27,"Pass")</f>
        <v>0</v>
      </c>
      <c r="F20" s="12">
        <f>COUNTIF('RM-Portal Consistency'!$I$5:$I$27,"Fail")</f>
        <v>0</v>
      </c>
      <c r="G20" s="12">
        <f>COUNTIF('RM-Portal Consistency'!$I$5:$I$27,"Blocked")</f>
        <v>0</v>
      </c>
      <c r="H20" s="12">
        <f>COUNTIF('RM-Portal Consistency'!$I$5:$I$27,"Not Tested")</f>
        <v>23</v>
      </c>
      <c r="I20" s="13">
        <f t="shared" si="1"/>
        <v>0</v>
      </c>
      <c r="J20" s="13">
        <f t="shared" si="2"/>
        <v>0</v>
      </c>
    </row>
    <row r="21" ht="15.75" customHeight="1">
      <c r="B21" s="26" t="s">
        <v>26</v>
      </c>
      <c r="C21" s="9">
        <f>COUNTA('Non-Functional'!$A$5:$A$24)</f>
        <v>20</v>
      </c>
      <c r="D21" s="9">
        <f>COUNTIF('Non-Functional'!$F$5:$F$24,"P1")</f>
        <v>7</v>
      </c>
      <c r="E21" s="9">
        <f>COUNTIF('Non-Functional'!$I$5:$I$24,"Pass")</f>
        <v>0</v>
      </c>
      <c r="F21" s="9">
        <f>COUNTIF('Non-Functional'!$I$5:$I$24,"Fail")</f>
        <v>0</v>
      </c>
      <c r="G21" s="9">
        <f>COUNTIF('Non-Functional'!$I$5:$I$24,"Blocked")</f>
        <v>0</v>
      </c>
      <c r="H21" s="9">
        <f>COUNTIF('Non-Functional'!$I$5:$I$24,"Not Tested")</f>
        <v>20</v>
      </c>
      <c r="I21" s="10">
        <f t="shared" si="1"/>
        <v>0</v>
      </c>
      <c r="J21" s="10">
        <f t="shared" si="2"/>
        <v>0</v>
      </c>
    </row>
    <row r="22" ht="15.75" customHeight="1">
      <c r="B22" s="27" t="s">
        <v>27</v>
      </c>
      <c r="C22" s="12">
        <f>COUNTA('Known Issues &amp; Edge Cases'!$A$5:$A$21)</f>
        <v>17</v>
      </c>
      <c r="D22" s="12">
        <f>COUNTIF('Known Issues &amp; Edge Cases'!$F$5:$F$21,"P1")</f>
        <v>6</v>
      </c>
      <c r="E22" s="12">
        <f>COUNTIF('Known Issues &amp; Edge Cases'!$I$5:$I$21,"Pass")</f>
        <v>0</v>
      </c>
      <c r="F22" s="12">
        <f>COUNTIF('Known Issues &amp; Edge Cases'!$I$5:$I$21,"Fail")</f>
        <v>0</v>
      </c>
      <c r="G22" s="12">
        <f>COUNTIF('Known Issues &amp; Edge Cases'!$I$5:$I$21,"Blocked")</f>
        <v>0</v>
      </c>
      <c r="H22" s="12">
        <f>COUNTIF('Known Issues &amp; Edge Cases'!$I$5:$I$21,"Not Tested")</f>
        <v>17</v>
      </c>
      <c r="I22" s="13">
        <f t="shared" si="1"/>
        <v>0</v>
      </c>
      <c r="J22" s="13">
        <f t="shared" si="2"/>
        <v>0</v>
      </c>
    </row>
    <row r="23" ht="15.75" customHeight="1">
      <c r="B23" s="28" t="s">
        <v>28</v>
      </c>
      <c r="C23" s="29">
        <f t="shared" ref="C23:H23" si="3">SUM(C7:C22)</f>
        <v>360</v>
      </c>
      <c r="D23" s="29">
        <f t="shared" si="3"/>
        <v>178</v>
      </c>
      <c r="E23" s="29">
        <f t="shared" si="3"/>
        <v>0</v>
      </c>
      <c r="F23" s="29">
        <f t="shared" si="3"/>
        <v>0</v>
      </c>
      <c r="G23" s="29">
        <f t="shared" si="3"/>
        <v>0</v>
      </c>
      <c r="H23" s="29">
        <f t="shared" si="3"/>
        <v>360</v>
      </c>
      <c r="I23" s="30">
        <f t="shared" si="1"/>
        <v>0</v>
      </c>
      <c r="J23" s="30">
        <f t="shared" si="2"/>
        <v>0</v>
      </c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</row>
    <row r="25" ht="15.75" customHeight="1">
      <c r="B25" s="31" t="s">
        <v>29</v>
      </c>
      <c r="C25" s="6"/>
      <c r="D25" s="6"/>
      <c r="E25" s="6"/>
      <c r="F25" s="6"/>
      <c r="G25" s="6"/>
      <c r="H25" s="6"/>
      <c r="I25" s="6"/>
      <c r="J25" s="6"/>
    </row>
    <row r="26" ht="15.75" customHeight="1">
      <c r="B26" s="32" t="s">
        <v>30</v>
      </c>
    </row>
    <row r="27" ht="15.75" customHeight="1">
      <c r="B27" s="32" t="s">
        <v>31</v>
      </c>
    </row>
    <row r="28" ht="15.75" customHeight="1">
      <c r="B28" s="32" t="s">
        <v>32</v>
      </c>
    </row>
    <row r="29" ht="15.75" customHeight="1">
      <c r="B29" s="32" t="s">
        <v>33</v>
      </c>
    </row>
    <row r="30" ht="15.75" customHeight="1">
      <c r="B30" s="32" t="s">
        <v>34</v>
      </c>
    </row>
    <row r="31" ht="15.75" customHeight="1">
      <c r="B31" s="32" t="s">
        <v>35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30:J30"/>
    <mergeCell ref="B31:J31"/>
    <mergeCell ref="B2:J2"/>
    <mergeCell ref="B3:J3"/>
    <mergeCell ref="B4:J4"/>
    <mergeCell ref="B26:J26"/>
    <mergeCell ref="B27:J27"/>
    <mergeCell ref="B28:J28"/>
    <mergeCell ref="B29:J2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33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37</v>
      </c>
    </row>
    <row r="4" ht="19.5" customHeight="1">
      <c r="A4" s="7" t="s">
        <v>38</v>
      </c>
      <c r="B4" s="7" t="s">
        <v>39</v>
      </c>
      <c r="C4" s="7" t="s">
        <v>40</v>
      </c>
      <c r="D4" s="7" t="s">
        <v>41</v>
      </c>
      <c r="E4" s="7" t="s">
        <v>42</v>
      </c>
      <c r="F4" s="7" t="s">
        <v>43</v>
      </c>
      <c r="G4" s="7" t="s">
        <v>44</v>
      </c>
      <c r="H4" s="7" t="s">
        <v>45</v>
      </c>
      <c r="I4" s="7" t="s">
        <v>46</v>
      </c>
      <c r="J4" s="7" t="s">
        <v>47</v>
      </c>
      <c r="K4" s="7" t="s">
        <v>48</v>
      </c>
      <c r="L4" s="7" t="s">
        <v>49</v>
      </c>
    </row>
    <row r="5">
      <c r="A5" s="35" t="s">
        <v>50</v>
      </c>
      <c r="B5" s="36" t="s">
        <v>51</v>
      </c>
      <c r="C5" s="36" t="s">
        <v>52</v>
      </c>
      <c r="D5" s="36" t="s">
        <v>53</v>
      </c>
      <c r="E5" s="36" t="s">
        <v>54</v>
      </c>
      <c r="F5" s="37" t="s">
        <v>5</v>
      </c>
      <c r="G5" s="35" t="s">
        <v>55</v>
      </c>
      <c r="H5" s="35" t="s">
        <v>56</v>
      </c>
      <c r="I5" s="38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58</v>
      </c>
      <c r="B6" s="41" t="s">
        <v>51</v>
      </c>
      <c r="C6" s="41" t="s">
        <v>59</v>
      </c>
      <c r="D6" s="41" t="s">
        <v>60</v>
      </c>
      <c r="E6" s="41" t="s">
        <v>61</v>
      </c>
      <c r="F6" s="42" t="s">
        <v>5</v>
      </c>
      <c r="G6" s="40" t="s">
        <v>62</v>
      </c>
      <c r="H6" s="40" t="s">
        <v>63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64</v>
      </c>
      <c r="B7" s="36" t="s">
        <v>51</v>
      </c>
      <c r="C7" s="36" t="s">
        <v>65</v>
      </c>
      <c r="D7" s="36" t="s">
        <v>66</v>
      </c>
      <c r="E7" s="36" t="s">
        <v>67</v>
      </c>
      <c r="F7" s="37" t="s">
        <v>5</v>
      </c>
      <c r="G7" s="35" t="s">
        <v>62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68</v>
      </c>
      <c r="B8" s="41" t="s">
        <v>51</v>
      </c>
      <c r="C8" s="41" t="s">
        <v>69</v>
      </c>
      <c r="D8" s="41" t="s">
        <v>70</v>
      </c>
      <c r="E8" s="41" t="s">
        <v>71</v>
      </c>
      <c r="F8" s="44" t="s">
        <v>72</v>
      </c>
      <c r="G8" s="40" t="s">
        <v>73</v>
      </c>
      <c r="H8" s="40" t="s">
        <v>56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74</v>
      </c>
      <c r="B9" s="36" t="s">
        <v>51</v>
      </c>
      <c r="C9" s="36" t="s">
        <v>75</v>
      </c>
      <c r="D9" s="36" t="s">
        <v>76</v>
      </c>
      <c r="E9" s="36" t="s">
        <v>77</v>
      </c>
      <c r="F9" s="37" t="s">
        <v>5</v>
      </c>
      <c r="G9" s="35" t="s">
        <v>62</v>
      </c>
      <c r="H9" s="35" t="s">
        <v>63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78</v>
      </c>
      <c r="B10" s="41" t="s">
        <v>79</v>
      </c>
      <c r="C10" s="41" t="s">
        <v>80</v>
      </c>
      <c r="D10" s="41" t="s">
        <v>81</v>
      </c>
      <c r="E10" s="41" t="s">
        <v>82</v>
      </c>
      <c r="F10" s="42" t="s">
        <v>5</v>
      </c>
      <c r="G10" s="40" t="s">
        <v>55</v>
      </c>
      <c r="H10" s="40" t="s">
        <v>63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83</v>
      </c>
      <c r="B11" s="36" t="s">
        <v>79</v>
      </c>
      <c r="C11" s="36" t="s">
        <v>84</v>
      </c>
      <c r="D11" s="36" t="s">
        <v>85</v>
      </c>
      <c r="E11" s="36" t="s">
        <v>86</v>
      </c>
      <c r="F11" s="37" t="s">
        <v>5</v>
      </c>
      <c r="G11" s="35" t="s">
        <v>55</v>
      </c>
      <c r="H11" s="35" t="s">
        <v>63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87</v>
      </c>
      <c r="B12" s="41" t="s">
        <v>79</v>
      </c>
      <c r="C12" s="41" t="s">
        <v>88</v>
      </c>
      <c r="D12" s="41" t="s">
        <v>89</v>
      </c>
      <c r="E12" s="41" t="s">
        <v>90</v>
      </c>
      <c r="F12" s="44" t="s">
        <v>72</v>
      </c>
      <c r="G12" s="40" t="s">
        <v>62</v>
      </c>
      <c r="H12" s="40" t="s">
        <v>63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91</v>
      </c>
      <c r="B13" s="36" t="s">
        <v>79</v>
      </c>
      <c r="C13" s="36" t="s">
        <v>92</v>
      </c>
      <c r="D13" s="36" t="s">
        <v>93</v>
      </c>
      <c r="E13" s="36" t="s">
        <v>94</v>
      </c>
      <c r="F13" s="45" t="s">
        <v>72</v>
      </c>
      <c r="G13" s="35" t="s">
        <v>62</v>
      </c>
      <c r="H13" s="35" t="s">
        <v>63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95</v>
      </c>
      <c r="B14" s="41" t="s">
        <v>79</v>
      </c>
      <c r="C14" s="41" t="s">
        <v>96</v>
      </c>
      <c r="D14" s="41" t="s">
        <v>97</v>
      </c>
      <c r="E14" s="41" t="s">
        <v>98</v>
      </c>
      <c r="F14" s="46" t="s">
        <v>99</v>
      </c>
      <c r="G14" s="40" t="s">
        <v>62</v>
      </c>
      <c r="H14" s="40" t="s">
        <v>63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100</v>
      </c>
      <c r="B15" s="36" t="s">
        <v>79</v>
      </c>
      <c r="C15" s="36" t="s">
        <v>101</v>
      </c>
      <c r="D15" s="36" t="s">
        <v>102</v>
      </c>
      <c r="E15" s="36" t="s">
        <v>103</v>
      </c>
      <c r="F15" s="47" t="s">
        <v>99</v>
      </c>
      <c r="G15" s="35" t="s">
        <v>73</v>
      </c>
      <c r="H15" s="35" t="s">
        <v>63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104</v>
      </c>
      <c r="B16" s="41" t="s">
        <v>79</v>
      </c>
      <c r="C16" s="41" t="s">
        <v>105</v>
      </c>
      <c r="D16" s="41" t="s">
        <v>106</v>
      </c>
      <c r="E16" s="41" t="s">
        <v>107</v>
      </c>
      <c r="F16" s="44" t="s">
        <v>72</v>
      </c>
      <c r="G16" s="40" t="s">
        <v>62</v>
      </c>
      <c r="H16" s="40" t="s">
        <v>63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108</v>
      </c>
      <c r="B17" s="36" t="s">
        <v>79</v>
      </c>
      <c r="C17" s="36" t="s">
        <v>109</v>
      </c>
      <c r="D17" s="36" t="s">
        <v>110</v>
      </c>
      <c r="E17" s="36" t="s">
        <v>111</v>
      </c>
      <c r="F17" s="37" t="s">
        <v>5</v>
      </c>
      <c r="G17" s="35" t="s">
        <v>62</v>
      </c>
      <c r="H17" s="35" t="s">
        <v>63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112</v>
      </c>
      <c r="B18" s="41" t="s">
        <v>113</v>
      </c>
      <c r="C18" s="41" t="s">
        <v>114</v>
      </c>
      <c r="D18" s="41" t="s">
        <v>115</v>
      </c>
      <c r="E18" s="41" t="s">
        <v>116</v>
      </c>
      <c r="F18" s="42" t="s">
        <v>5</v>
      </c>
      <c r="G18" s="40" t="s">
        <v>62</v>
      </c>
      <c r="H18" s="40" t="s">
        <v>63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>
      <c r="A19" s="35" t="s">
        <v>117</v>
      </c>
      <c r="B19" s="36" t="s">
        <v>113</v>
      </c>
      <c r="C19" s="36" t="s">
        <v>118</v>
      </c>
      <c r="D19" s="36" t="s">
        <v>119</v>
      </c>
      <c r="E19" s="36" t="s">
        <v>120</v>
      </c>
      <c r="F19" s="45" t="s">
        <v>72</v>
      </c>
      <c r="G19" s="35" t="s">
        <v>62</v>
      </c>
      <c r="H19" s="35" t="s">
        <v>63</v>
      </c>
      <c r="I19" s="35" t="s">
        <v>9</v>
      </c>
      <c r="J19" s="39" t="s">
        <v>57</v>
      </c>
      <c r="K19" s="35" t="s">
        <v>57</v>
      </c>
      <c r="L19" s="36" t="s">
        <v>57</v>
      </c>
    </row>
    <row r="20">
      <c r="A20" s="40" t="s">
        <v>121</v>
      </c>
      <c r="B20" s="41" t="s">
        <v>113</v>
      </c>
      <c r="C20" s="41" t="s">
        <v>122</v>
      </c>
      <c r="D20" s="41" t="s">
        <v>123</v>
      </c>
      <c r="E20" s="41" t="s">
        <v>124</v>
      </c>
      <c r="F20" s="42" t="s">
        <v>5</v>
      </c>
      <c r="G20" s="40" t="s">
        <v>62</v>
      </c>
      <c r="H20" s="40" t="s">
        <v>63</v>
      </c>
      <c r="I20" s="40" t="s">
        <v>9</v>
      </c>
      <c r="J20" s="43" t="s">
        <v>57</v>
      </c>
      <c r="K20" s="40" t="s">
        <v>57</v>
      </c>
      <c r="L20" s="41" t="s">
        <v>57</v>
      </c>
    </row>
    <row r="21" ht="15.75" customHeight="1">
      <c r="A21" s="35" t="s">
        <v>125</v>
      </c>
      <c r="B21" s="36" t="s">
        <v>113</v>
      </c>
      <c r="C21" s="36" t="s">
        <v>126</v>
      </c>
      <c r="D21" s="36" t="s">
        <v>127</v>
      </c>
      <c r="E21" s="36" t="s">
        <v>128</v>
      </c>
      <c r="F21" s="37" t="s">
        <v>5</v>
      </c>
      <c r="G21" s="35" t="s">
        <v>73</v>
      </c>
      <c r="H21" s="35" t="s">
        <v>56</v>
      </c>
      <c r="I21" s="35" t="s">
        <v>9</v>
      </c>
      <c r="J21" s="39" t="s">
        <v>57</v>
      </c>
      <c r="K21" s="35" t="s">
        <v>57</v>
      </c>
      <c r="L21" s="36" t="s">
        <v>57</v>
      </c>
    </row>
    <row r="22" ht="15.75" customHeight="1">
      <c r="A22" s="40" t="s">
        <v>129</v>
      </c>
      <c r="B22" s="41" t="s">
        <v>113</v>
      </c>
      <c r="C22" s="41" t="s">
        <v>130</v>
      </c>
      <c r="D22" s="41" t="s">
        <v>131</v>
      </c>
      <c r="E22" s="41" t="s">
        <v>132</v>
      </c>
      <c r="F22" s="46" t="s">
        <v>99</v>
      </c>
      <c r="G22" s="40" t="s">
        <v>62</v>
      </c>
      <c r="H22" s="40" t="s">
        <v>63</v>
      </c>
      <c r="I22" s="40" t="s">
        <v>9</v>
      </c>
      <c r="J22" s="43" t="s">
        <v>57</v>
      </c>
      <c r="K22" s="40" t="s">
        <v>57</v>
      </c>
      <c r="L22" s="41" t="s">
        <v>57</v>
      </c>
    </row>
    <row r="23" ht="15.75" customHeight="1">
      <c r="A23" s="35" t="s">
        <v>133</v>
      </c>
      <c r="B23" s="36" t="s">
        <v>113</v>
      </c>
      <c r="C23" s="36" t="s">
        <v>134</v>
      </c>
      <c r="D23" s="36" t="s">
        <v>135</v>
      </c>
      <c r="E23" s="36" t="s">
        <v>136</v>
      </c>
      <c r="F23" s="45" t="s">
        <v>72</v>
      </c>
      <c r="G23" s="35" t="s">
        <v>62</v>
      </c>
      <c r="H23" s="35" t="s">
        <v>63</v>
      </c>
      <c r="I23" s="35" t="s">
        <v>9</v>
      </c>
      <c r="J23" s="39" t="s">
        <v>57</v>
      </c>
      <c r="K23" s="35" t="s">
        <v>57</v>
      </c>
      <c r="L23" s="36" t="s">
        <v>57</v>
      </c>
    </row>
    <row r="24" ht="15.75" customHeight="1">
      <c r="A24" s="40" t="s">
        <v>137</v>
      </c>
      <c r="B24" s="41" t="s">
        <v>113</v>
      </c>
      <c r="C24" s="41" t="s">
        <v>138</v>
      </c>
      <c r="D24" s="41" t="s">
        <v>139</v>
      </c>
      <c r="E24" s="41" t="s">
        <v>140</v>
      </c>
      <c r="F24" s="44" t="s">
        <v>72</v>
      </c>
      <c r="G24" s="40" t="s">
        <v>62</v>
      </c>
      <c r="H24" s="40" t="s">
        <v>63</v>
      </c>
      <c r="I24" s="40" t="s">
        <v>9</v>
      </c>
      <c r="J24" s="43" t="s">
        <v>57</v>
      </c>
      <c r="K24" s="40" t="s">
        <v>57</v>
      </c>
      <c r="L24" s="41" t="s">
        <v>57</v>
      </c>
    </row>
    <row r="25" ht="15.75" customHeight="1">
      <c r="A25" s="35" t="s">
        <v>141</v>
      </c>
      <c r="B25" s="36" t="s">
        <v>113</v>
      </c>
      <c r="C25" s="36" t="s">
        <v>142</v>
      </c>
      <c r="D25" s="36" t="s">
        <v>143</v>
      </c>
      <c r="E25" s="36" t="s">
        <v>144</v>
      </c>
      <c r="F25" s="45" t="s">
        <v>72</v>
      </c>
      <c r="G25" s="35" t="s">
        <v>62</v>
      </c>
      <c r="H25" s="35" t="s">
        <v>63</v>
      </c>
      <c r="I25" s="35" t="s">
        <v>9</v>
      </c>
      <c r="J25" s="39" t="s">
        <v>57</v>
      </c>
      <c r="K25" s="35" t="s">
        <v>57</v>
      </c>
      <c r="L25" s="36" t="s">
        <v>57</v>
      </c>
    </row>
    <row r="26" ht="15.75" customHeight="1">
      <c r="A26" s="40" t="s">
        <v>145</v>
      </c>
      <c r="B26" s="41" t="s">
        <v>113</v>
      </c>
      <c r="C26" s="41" t="s">
        <v>146</v>
      </c>
      <c r="D26" s="41" t="s">
        <v>147</v>
      </c>
      <c r="E26" s="41" t="s">
        <v>148</v>
      </c>
      <c r="F26" s="46" t="s">
        <v>99</v>
      </c>
      <c r="G26" s="40" t="s">
        <v>62</v>
      </c>
      <c r="H26" s="40" t="s">
        <v>56</v>
      </c>
      <c r="I26" s="40" t="s">
        <v>9</v>
      </c>
      <c r="J26" s="43" t="s">
        <v>57</v>
      </c>
      <c r="K26" s="40" t="s">
        <v>57</v>
      </c>
      <c r="L26" s="41" t="s">
        <v>57</v>
      </c>
    </row>
    <row r="27" ht="15.75" customHeight="1">
      <c r="A27" s="35" t="s">
        <v>149</v>
      </c>
      <c r="B27" s="36" t="s">
        <v>113</v>
      </c>
      <c r="C27" s="36" t="s">
        <v>150</v>
      </c>
      <c r="D27" s="36" t="s">
        <v>151</v>
      </c>
      <c r="E27" s="36" t="s">
        <v>152</v>
      </c>
      <c r="F27" s="47" t="s">
        <v>99</v>
      </c>
      <c r="G27" s="35" t="s">
        <v>62</v>
      </c>
      <c r="H27" s="35" t="s">
        <v>56</v>
      </c>
      <c r="I27" s="35" t="s">
        <v>9</v>
      </c>
      <c r="J27" s="39" t="s">
        <v>57</v>
      </c>
      <c r="K27" s="35" t="s">
        <v>57</v>
      </c>
      <c r="L27" s="36" t="s">
        <v>57</v>
      </c>
    </row>
    <row r="28" ht="15.75" customHeight="1">
      <c r="A28" s="40" t="s">
        <v>153</v>
      </c>
      <c r="B28" s="41" t="s">
        <v>154</v>
      </c>
      <c r="C28" s="41" t="s">
        <v>155</v>
      </c>
      <c r="D28" s="41" t="s">
        <v>156</v>
      </c>
      <c r="E28" s="41" t="s">
        <v>157</v>
      </c>
      <c r="F28" s="44" t="s">
        <v>72</v>
      </c>
      <c r="G28" s="40" t="s">
        <v>62</v>
      </c>
      <c r="H28" s="40" t="s">
        <v>63</v>
      </c>
      <c r="I28" s="40" t="s">
        <v>9</v>
      </c>
      <c r="J28" s="43" t="s">
        <v>57</v>
      </c>
      <c r="K28" s="40" t="s">
        <v>57</v>
      </c>
      <c r="L28" s="41" t="s">
        <v>57</v>
      </c>
    </row>
    <row r="29" ht="15.75" customHeight="1">
      <c r="A29" s="35" t="s">
        <v>158</v>
      </c>
      <c r="B29" s="36" t="s">
        <v>159</v>
      </c>
      <c r="C29" s="36" t="s">
        <v>160</v>
      </c>
      <c r="D29" s="36" t="s">
        <v>161</v>
      </c>
      <c r="E29" s="36" t="s">
        <v>162</v>
      </c>
      <c r="F29" s="47" t="s">
        <v>99</v>
      </c>
      <c r="G29" s="35" t="s">
        <v>62</v>
      </c>
      <c r="H29" s="35" t="s">
        <v>56</v>
      </c>
      <c r="I29" s="35" t="s">
        <v>9</v>
      </c>
      <c r="J29" s="39" t="s">
        <v>57</v>
      </c>
      <c r="K29" s="35" t="s">
        <v>57</v>
      </c>
      <c r="L29" s="36" t="s">
        <v>57</v>
      </c>
    </row>
    <row r="30" ht="15.75" customHeight="1">
      <c r="A30" s="40" t="s">
        <v>163</v>
      </c>
      <c r="B30" s="41" t="s">
        <v>164</v>
      </c>
      <c r="C30" s="41" t="s">
        <v>165</v>
      </c>
      <c r="D30" s="41" t="s">
        <v>166</v>
      </c>
      <c r="E30" s="41" t="s">
        <v>167</v>
      </c>
      <c r="F30" s="46" t="s">
        <v>99</v>
      </c>
      <c r="G30" s="40" t="s">
        <v>62</v>
      </c>
      <c r="H30" s="40" t="s">
        <v>63</v>
      </c>
      <c r="I30" s="40" t="s">
        <v>9</v>
      </c>
      <c r="J30" s="43" t="s">
        <v>57</v>
      </c>
      <c r="K30" s="40" t="s">
        <v>57</v>
      </c>
      <c r="L30" s="41" t="s">
        <v>57</v>
      </c>
    </row>
    <row r="31" ht="15.75" customHeight="1">
      <c r="A31" s="35" t="s">
        <v>168</v>
      </c>
      <c r="B31" s="36" t="s">
        <v>169</v>
      </c>
      <c r="C31" s="36" t="s">
        <v>170</v>
      </c>
      <c r="D31" s="36" t="s">
        <v>171</v>
      </c>
      <c r="E31" s="36" t="s">
        <v>172</v>
      </c>
      <c r="F31" s="47" t="s">
        <v>99</v>
      </c>
      <c r="G31" s="35" t="s">
        <v>55</v>
      </c>
      <c r="H31" s="35" t="s">
        <v>63</v>
      </c>
      <c r="I31" s="35" t="s">
        <v>9</v>
      </c>
      <c r="J31" s="39" t="s">
        <v>57</v>
      </c>
      <c r="K31" s="35" t="s">
        <v>57</v>
      </c>
      <c r="L31" s="36" t="s">
        <v>57</v>
      </c>
    </row>
    <row r="32" ht="15.75" customHeight="1">
      <c r="A32" s="40" t="s">
        <v>173</v>
      </c>
      <c r="B32" s="41" t="s">
        <v>51</v>
      </c>
      <c r="C32" s="41" t="s">
        <v>174</v>
      </c>
      <c r="D32" s="41" t="s">
        <v>175</v>
      </c>
      <c r="E32" s="41" t="s">
        <v>176</v>
      </c>
      <c r="F32" s="42" t="s">
        <v>5</v>
      </c>
      <c r="G32" s="40" t="s">
        <v>62</v>
      </c>
      <c r="H32" s="40" t="s">
        <v>63</v>
      </c>
      <c r="I32" s="40" t="s">
        <v>9</v>
      </c>
      <c r="J32" s="43" t="s">
        <v>57</v>
      </c>
      <c r="K32" s="40" t="s">
        <v>57</v>
      </c>
      <c r="L32" s="41" t="s">
        <v>57</v>
      </c>
    </row>
    <row r="33" ht="15.75" customHeight="1">
      <c r="A33" s="35" t="s">
        <v>177</v>
      </c>
      <c r="B33" s="36" t="s">
        <v>51</v>
      </c>
      <c r="C33" s="36" t="s">
        <v>178</v>
      </c>
      <c r="D33" s="36" t="s">
        <v>179</v>
      </c>
      <c r="E33" s="36" t="s">
        <v>180</v>
      </c>
      <c r="F33" s="45" t="s">
        <v>72</v>
      </c>
      <c r="G33" s="35" t="s">
        <v>62</v>
      </c>
      <c r="H33" s="35" t="s">
        <v>63</v>
      </c>
      <c r="I33" s="35" t="s">
        <v>9</v>
      </c>
      <c r="J33" s="39" t="s">
        <v>57</v>
      </c>
      <c r="K33" s="35" t="s">
        <v>57</v>
      </c>
      <c r="L33" s="36" t="s">
        <v>57</v>
      </c>
    </row>
    <row r="34" ht="15.75" customHeight="1">
      <c r="A34" s="40" t="s">
        <v>181</v>
      </c>
      <c r="B34" s="41" t="s">
        <v>79</v>
      </c>
      <c r="C34" s="41" t="s">
        <v>182</v>
      </c>
      <c r="D34" s="41" t="s">
        <v>183</v>
      </c>
      <c r="E34" s="41" t="s">
        <v>184</v>
      </c>
      <c r="F34" s="44" t="s">
        <v>72</v>
      </c>
      <c r="G34" s="40" t="s">
        <v>73</v>
      </c>
      <c r="H34" s="40" t="s">
        <v>63</v>
      </c>
      <c r="I34" s="40" t="s">
        <v>9</v>
      </c>
      <c r="J34" s="43" t="s">
        <v>57</v>
      </c>
      <c r="K34" s="40" t="s">
        <v>57</v>
      </c>
      <c r="L34" s="41" t="s">
        <v>57</v>
      </c>
    </row>
    <row r="35" ht="15.75" customHeight="1">
      <c r="A35" s="35" t="s">
        <v>185</v>
      </c>
      <c r="B35" s="36" t="s">
        <v>113</v>
      </c>
      <c r="C35" s="36" t="s">
        <v>186</v>
      </c>
      <c r="D35" s="36" t="s">
        <v>187</v>
      </c>
      <c r="E35" s="36" t="s">
        <v>188</v>
      </c>
      <c r="F35" s="47" t="s">
        <v>99</v>
      </c>
      <c r="G35" s="35" t="s">
        <v>62</v>
      </c>
      <c r="H35" s="35" t="s">
        <v>63</v>
      </c>
      <c r="I35" s="35" t="s">
        <v>9</v>
      </c>
      <c r="J35" s="39" t="s">
        <v>57</v>
      </c>
      <c r="K35" s="35" t="s">
        <v>57</v>
      </c>
      <c r="L35" s="36" t="s">
        <v>57</v>
      </c>
    </row>
    <row r="36" ht="15.75" customHeight="1">
      <c r="A36" s="40" t="s">
        <v>189</v>
      </c>
      <c r="B36" s="41" t="s">
        <v>113</v>
      </c>
      <c r="C36" s="41" t="s">
        <v>190</v>
      </c>
      <c r="D36" s="41" t="s">
        <v>191</v>
      </c>
      <c r="E36" s="41" t="s">
        <v>192</v>
      </c>
      <c r="F36" s="44" t="s">
        <v>72</v>
      </c>
      <c r="G36" s="40" t="s">
        <v>62</v>
      </c>
      <c r="H36" s="40" t="s">
        <v>63</v>
      </c>
      <c r="I36" s="40" t="s">
        <v>9</v>
      </c>
      <c r="J36" s="43" t="s">
        <v>57</v>
      </c>
      <c r="K36" s="40" t="s">
        <v>57</v>
      </c>
      <c r="L36" s="41" t="s">
        <v>57</v>
      </c>
    </row>
    <row r="37" ht="15.75" customHeight="1">
      <c r="A37" s="35" t="s">
        <v>193</v>
      </c>
      <c r="B37" s="36" t="s">
        <v>113</v>
      </c>
      <c r="C37" s="36" t="s">
        <v>194</v>
      </c>
      <c r="D37" s="36" t="s">
        <v>195</v>
      </c>
      <c r="E37" s="36" t="s">
        <v>196</v>
      </c>
      <c r="F37" s="47" t="s">
        <v>99</v>
      </c>
      <c r="G37" s="35" t="s">
        <v>62</v>
      </c>
      <c r="H37" s="35" t="s">
        <v>63</v>
      </c>
      <c r="I37" s="35" t="s">
        <v>9</v>
      </c>
      <c r="J37" s="39" t="s">
        <v>57</v>
      </c>
      <c r="K37" s="35" t="s">
        <v>57</v>
      </c>
      <c r="L37" s="36" t="s">
        <v>57</v>
      </c>
    </row>
    <row r="38" ht="15.75" customHeight="1">
      <c r="A38" s="40" t="s">
        <v>197</v>
      </c>
      <c r="B38" s="41" t="s">
        <v>159</v>
      </c>
      <c r="C38" s="41" t="s">
        <v>198</v>
      </c>
      <c r="D38" s="41" t="s">
        <v>199</v>
      </c>
      <c r="E38" s="41" t="s">
        <v>200</v>
      </c>
      <c r="F38" s="44" t="s">
        <v>72</v>
      </c>
      <c r="G38" s="40" t="s">
        <v>62</v>
      </c>
      <c r="H38" s="40" t="s">
        <v>56</v>
      </c>
      <c r="I38" s="40" t="s">
        <v>9</v>
      </c>
      <c r="J38" s="43" t="s">
        <v>57</v>
      </c>
      <c r="K38" s="40" t="s">
        <v>57</v>
      </c>
      <c r="L38" s="41" t="s">
        <v>57</v>
      </c>
    </row>
    <row r="39" ht="15.75" customHeight="1">
      <c r="A39" s="35" t="s">
        <v>201</v>
      </c>
      <c r="B39" s="36" t="s">
        <v>202</v>
      </c>
      <c r="C39" s="36" t="s">
        <v>203</v>
      </c>
      <c r="D39" s="36" t="s">
        <v>204</v>
      </c>
      <c r="E39" s="36" t="s">
        <v>205</v>
      </c>
      <c r="F39" s="47" t="s">
        <v>99</v>
      </c>
      <c r="G39" s="35" t="s">
        <v>62</v>
      </c>
      <c r="H39" s="35" t="s">
        <v>56</v>
      </c>
      <c r="I39" s="35" t="s">
        <v>9</v>
      </c>
      <c r="J39" s="39" t="s">
        <v>57</v>
      </c>
      <c r="K39" s="35" t="s">
        <v>57</v>
      </c>
      <c r="L39" s="36" t="s">
        <v>57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39"/>
  <mergeCells count="2">
    <mergeCell ref="A1:L1"/>
    <mergeCell ref="A2:L2"/>
  </mergeCells>
  <conditionalFormatting sqref="I5:I39">
    <cfRule type="cellIs" dxfId="0" priority="1" operator="equal">
      <formula>"Pass"</formula>
    </cfRule>
  </conditionalFormatting>
  <conditionalFormatting sqref="I5:I39">
    <cfRule type="cellIs" dxfId="1" priority="2" operator="equal">
      <formula>"Fail"</formula>
    </cfRule>
  </conditionalFormatting>
  <conditionalFormatting sqref="I5:I39">
    <cfRule type="cellIs" dxfId="2" priority="3" operator="equal">
      <formula>"Blocked"</formula>
    </cfRule>
  </conditionalFormatting>
  <dataValidations>
    <dataValidation type="list" allowBlank="1" sqref="F5:F39">
      <formula1>"P1,P2,P3"</formula1>
    </dataValidation>
    <dataValidation type="list" allowBlank="1" sqref="H5:H39">
      <formula1>"Playwright,Manual,API"</formula1>
    </dataValidation>
    <dataValidation type="list" allowBlank="1" sqref="G5:G39">
      <formula1>"Smoke,Regression,Edge,Negative"</formula1>
    </dataValidation>
    <dataValidation type="list" allowBlank="1" sqref="I5:I39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48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207</v>
      </c>
    </row>
    <row r="4" ht="19.5" customHeight="1">
      <c r="A4" s="49" t="s">
        <v>38</v>
      </c>
      <c r="B4" s="49" t="s">
        <v>39</v>
      </c>
      <c r="C4" s="49" t="s">
        <v>40</v>
      </c>
      <c r="D4" s="49" t="s">
        <v>41</v>
      </c>
      <c r="E4" s="49" t="s">
        <v>42</v>
      </c>
      <c r="F4" s="49" t="s">
        <v>43</v>
      </c>
      <c r="G4" s="49" t="s">
        <v>44</v>
      </c>
      <c r="H4" s="49" t="s">
        <v>45</v>
      </c>
      <c r="I4" s="49" t="s">
        <v>46</v>
      </c>
      <c r="J4" s="49" t="s">
        <v>47</v>
      </c>
      <c r="K4" s="49" t="s">
        <v>48</v>
      </c>
      <c r="L4" s="49" t="s">
        <v>49</v>
      </c>
    </row>
    <row r="5">
      <c r="A5" s="35" t="s">
        <v>208</v>
      </c>
      <c r="B5" s="36" t="s">
        <v>209</v>
      </c>
      <c r="C5" s="36" t="s">
        <v>210</v>
      </c>
      <c r="D5" s="36" t="s">
        <v>211</v>
      </c>
      <c r="E5" s="36" t="s">
        <v>212</v>
      </c>
      <c r="F5" s="37" t="s">
        <v>5</v>
      </c>
      <c r="G5" s="35" t="s">
        <v>55</v>
      </c>
      <c r="H5" s="35" t="s">
        <v>63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213</v>
      </c>
      <c r="B6" s="41" t="s">
        <v>209</v>
      </c>
      <c r="C6" s="41" t="s">
        <v>214</v>
      </c>
      <c r="D6" s="41" t="s">
        <v>215</v>
      </c>
      <c r="E6" s="41" t="s">
        <v>216</v>
      </c>
      <c r="F6" s="42" t="s">
        <v>5</v>
      </c>
      <c r="G6" s="40" t="s">
        <v>62</v>
      </c>
      <c r="H6" s="40" t="s">
        <v>63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217</v>
      </c>
      <c r="B7" s="36" t="s">
        <v>218</v>
      </c>
      <c r="C7" s="36" t="s">
        <v>219</v>
      </c>
      <c r="D7" s="36" t="s">
        <v>220</v>
      </c>
      <c r="E7" s="36" t="s">
        <v>221</v>
      </c>
      <c r="F7" s="37" t="s">
        <v>5</v>
      </c>
      <c r="G7" s="35" t="s">
        <v>62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222</v>
      </c>
      <c r="B8" s="41" t="s">
        <v>218</v>
      </c>
      <c r="C8" s="41" t="s">
        <v>223</v>
      </c>
      <c r="D8" s="41" t="s">
        <v>224</v>
      </c>
      <c r="E8" s="41" t="s">
        <v>225</v>
      </c>
      <c r="F8" s="44" t="s">
        <v>72</v>
      </c>
      <c r="G8" s="40" t="s">
        <v>62</v>
      </c>
      <c r="H8" s="40" t="s">
        <v>63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226</v>
      </c>
      <c r="B9" s="36" t="s">
        <v>227</v>
      </c>
      <c r="C9" s="36" t="s">
        <v>228</v>
      </c>
      <c r="D9" s="36" t="s">
        <v>229</v>
      </c>
      <c r="E9" s="36" t="s">
        <v>230</v>
      </c>
      <c r="F9" s="45" t="s">
        <v>72</v>
      </c>
      <c r="G9" s="35" t="s">
        <v>62</v>
      </c>
      <c r="H9" s="35" t="s">
        <v>63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231</v>
      </c>
      <c r="B10" s="41" t="s">
        <v>232</v>
      </c>
      <c r="C10" s="41" t="s">
        <v>233</v>
      </c>
      <c r="D10" s="41" t="s">
        <v>234</v>
      </c>
      <c r="E10" s="41" t="s">
        <v>235</v>
      </c>
      <c r="F10" s="42" t="s">
        <v>5</v>
      </c>
      <c r="G10" s="40" t="s">
        <v>62</v>
      </c>
      <c r="H10" s="40" t="s">
        <v>63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236</v>
      </c>
      <c r="B11" s="36" t="s">
        <v>237</v>
      </c>
      <c r="C11" s="36" t="s">
        <v>238</v>
      </c>
      <c r="D11" s="36" t="s">
        <v>239</v>
      </c>
      <c r="E11" s="36" t="s">
        <v>240</v>
      </c>
      <c r="F11" s="45" t="s">
        <v>72</v>
      </c>
      <c r="G11" s="35" t="s">
        <v>62</v>
      </c>
      <c r="H11" s="35" t="s">
        <v>63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241</v>
      </c>
      <c r="B12" s="41" t="s">
        <v>237</v>
      </c>
      <c r="C12" s="41" t="s">
        <v>242</v>
      </c>
      <c r="D12" s="41" t="s">
        <v>243</v>
      </c>
      <c r="E12" s="41" t="s">
        <v>244</v>
      </c>
      <c r="F12" s="46" t="s">
        <v>99</v>
      </c>
      <c r="G12" s="40" t="s">
        <v>62</v>
      </c>
      <c r="H12" s="40" t="s">
        <v>63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245</v>
      </c>
      <c r="B13" s="36" t="s">
        <v>246</v>
      </c>
      <c r="C13" s="36" t="s">
        <v>247</v>
      </c>
      <c r="D13" s="36" t="s">
        <v>248</v>
      </c>
      <c r="E13" s="36" t="s">
        <v>249</v>
      </c>
      <c r="F13" s="45" t="s">
        <v>72</v>
      </c>
      <c r="G13" s="35" t="s">
        <v>62</v>
      </c>
      <c r="H13" s="35" t="s">
        <v>63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250</v>
      </c>
      <c r="B14" s="41" t="s">
        <v>251</v>
      </c>
      <c r="C14" s="41" t="s">
        <v>252</v>
      </c>
      <c r="D14" s="41" t="s">
        <v>253</v>
      </c>
      <c r="E14" s="41" t="s">
        <v>254</v>
      </c>
      <c r="F14" s="44" t="s">
        <v>72</v>
      </c>
      <c r="G14" s="40" t="s">
        <v>62</v>
      </c>
      <c r="H14" s="40" t="s">
        <v>63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255</v>
      </c>
      <c r="B15" s="36" t="s">
        <v>251</v>
      </c>
      <c r="C15" s="36" t="s">
        <v>256</v>
      </c>
      <c r="D15" s="36" t="s">
        <v>257</v>
      </c>
      <c r="E15" s="36" t="s">
        <v>258</v>
      </c>
      <c r="F15" s="45" t="s">
        <v>72</v>
      </c>
      <c r="G15" s="35" t="s">
        <v>62</v>
      </c>
      <c r="H15" s="35" t="s">
        <v>63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259</v>
      </c>
      <c r="B16" s="41" t="s">
        <v>260</v>
      </c>
      <c r="C16" s="41" t="s">
        <v>261</v>
      </c>
      <c r="D16" s="41" t="s">
        <v>262</v>
      </c>
      <c r="E16" s="41" t="s">
        <v>263</v>
      </c>
      <c r="F16" s="46" t="s">
        <v>99</v>
      </c>
      <c r="G16" s="40" t="s">
        <v>62</v>
      </c>
      <c r="H16" s="40" t="s">
        <v>56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264</v>
      </c>
      <c r="B17" s="36" t="s">
        <v>265</v>
      </c>
      <c r="C17" s="36" t="s">
        <v>266</v>
      </c>
      <c r="D17" s="36" t="s">
        <v>267</v>
      </c>
      <c r="E17" s="36" t="s">
        <v>268</v>
      </c>
      <c r="F17" s="37" t="s">
        <v>5</v>
      </c>
      <c r="G17" s="35" t="s">
        <v>62</v>
      </c>
      <c r="H17" s="35" t="s">
        <v>63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269</v>
      </c>
      <c r="B18" s="41" t="s">
        <v>270</v>
      </c>
      <c r="C18" s="41" t="s">
        <v>271</v>
      </c>
      <c r="D18" s="41" t="s">
        <v>272</v>
      </c>
      <c r="E18" s="41" t="s">
        <v>273</v>
      </c>
      <c r="F18" s="44" t="s">
        <v>72</v>
      </c>
      <c r="G18" s="40" t="s">
        <v>73</v>
      </c>
      <c r="H18" s="40" t="s">
        <v>63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>
      <c r="A19" s="35" t="s">
        <v>274</v>
      </c>
      <c r="B19" s="36" t="s">
        <v>275</v>
      </c>
      <c r="C19" s="36" t="s">
        <v>276</v>
      </c>
      <c r="D19" s="36" t="s">
        <v>277</v>
      </c>
      <c r="E19" s="36" t="s">
        <v>278</v>
      </c>
      <c r="F19" s="37" t="s">
        <v>5</v>
      </c>
      <c r="G19" s="35" t="s">
        <v>62</v>
      </c>
      <c r="H19" s="35" t="s">
        <v>56</v>
      </c>
      <c r="I19" s="35" t="s">
        <v>9</v>
      </c>
      <c r="J19" s="39" t="s">
        <v>57</v>
      </c>
      <c r="K19" s="35" t="s">
        <v>57</v>
      </c>
      <c r="L19" s="36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19"/>
  <mergeCells count="2">
    <mergeCell ref="A1:L1"/>
    <mergeCell ref="A2:L2"/>
  </mergeCells>
  <conditionalFormatting sqref="I5:I19">
    <cfRule type="cellIs" dxfId="0" priority="1" operator="equal">
      <formula>"Pass"</formula>
    </cfRule>
  </conditionalFormatting>
  <conditionalFormatting sqref="I5:I19">
    <cfRule type="cellIs" dxfId="1" priority="2" operator="equal">
      <formula>"Fail"</formula>
    </cfRule>
  </conditionalFormatting>
  <conditionalFormatting sqref="I5:I19">
    <cfRule type="cellIs" dxfId="2" priority="3" operator="equal">
      <formula>"Blocked"</formula>
    </cfRule>
  </conditionalFormatting>
  <dataValidations>
    <dataValidation type="list" allowBlank="1" sqref="F5:F19">
      <formula1>"P1,P2,P3"</formula1>
    </dataValidation>
    <dataValidation type="list" allowBlank="1" sqref="H5:H19">
      <formula1>"Playwright,Manual,API"</formula1>
    </dataValidation>
    <dataValidation type="list" allowBlank="1" sqref="G5:G19">
      <formula1>"Smoke,Regression,Edge,Negative"</formula1>
    </dataValidation>
    <dataValidation type="list" allowBlank="1" sqref="I5:I19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50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280</v>
      </c>
    </row>
    <row r="4" ht="19.5" customHeight="1">
      <c r="A4" s="51" t="s">
        <v>38</v>
      </c>
      <c r="B4" s="51" t="s">
        <v>39</v>
      </c>
      <c r="C4" s="51" t="s">
        <v>40</v>
      </c>
      <c r="D4" s="51" t="s">
        <v>41</v>
      </c>
      <c r="E4" s="51" t="s">
        <v>42</v>
      </c>
      <c r="F4" s="51" t="s">
        <v>43</v>
      </c>
      <c r="G4" s="51" t="s">
        <v>44</v>
      </c>
      <c r="H4" s="51" t="s">
        <v>45</v>
      </c>
      <c r="I4" s="51" t="s">
        <v>46</v>
      </c>
      <c r="J4" s="51" t="s">
        <v>47</v>
      </c>
      <c r="K4" s="51" t="s">
        <v>48</v>
      </c>
      <c r="L4" s="51" t="s">
        <v>49</v>
      </c>
    </row>
    <row r="5">
      <c r="A5" s="35" t="s">
        <v>281</v>
      </c>
      <c r="B5" s="36" t="s">
        <v>282</v>
      </c>
      <c r="C5" s="36" t="s">
        <v>283</v>
      </c>
      <c r="D5" s="36" t="s">
        <v>284</v>
      </c>
      <c r="E5" s="36" t="s">
        <v>285</v>
      </c>
      <c r="F5" s="37" t="s">
        <v>5</v>
      </c>
      <c r="G5" s="35" t="s">
        <v>55</v>
      </c>
      <c r="H5" s="35" t="s">
        <v>63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286</v>
      </c>
      <c r="B6" s="41" t="s">
        <v>282</v>
      </c>
      <c r="C6" s="41" t="s">
        <v>287</v>
      </c>
      <c r="D6" s="41" t="s">
        <v>288</v>
      </c>
      <c r="E6" s="41" t="s">
        <v>289</v>
      </c>
      <c r="F6" s="42" t="s">
        <v>5</v>
      </c>
      <c r="G6" s="40" t="s">
        <v>62</v>
      </c>
      <c r="H6" s="40" t="s">
        <v>63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290</v>
      </c>
      <c r="B7" s="36" t="s">
        <v>282</v>
      </c>
      <c r="C7" s="36" t="s">
        <v>291</v>
      </c>
      <c r="D7" s="36" t="s">
        <v>292</v>
      </c>
      <c r="E7" s="36" t="s">
        <v>293</v>
      </c>
      <c r="F7" s="47" t="s">
        <v>99</v>
      </c>
      <c r="G7" s="35" t="s">
        <v>73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294</v>
      </c>
      <c r="B8" s="41" t="s">
        <v>282</v>
      </c>
      <c r="C8" s="41" t="s">
        <v>295</v>
      </c>
      <c r="D8" s="41" t="s">
        <v>296</v>
      </c>
      <c r="E8" s="41" t="s">
        <v>297</v>
      </c>
      <c r="F8" s="44" t="s">
        <v>72</v>
      </c>
      <c r="G8" s="40" t="s">
        <v>62</v>
      </c>
      <c r="H8" s="40" t="s">
        <v>56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298</v>
      </c>
      <c r="B9" s="36" t="s">
        <v>299</v>
      </c>
      <c r="C9" s="36" t="s">
        <v>300</v>
      </c>
      <c r="D9" s="36" t="s">
        <v>301</v>
      </c>
      <c r="E9" s="36" t="s">
        <v>302</v>
      </c>
      <c r="F9" s="45" t="s">
        <v>72</v>
      </c>
      <c r="G9" s="35" t="s">
        <v>62</v>
      </c>
      <c r="H9" s="35" t="s">
        <v>63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303</v>
      </c>
      <c r="B10" s="41" t="s">
        <v>299</v>
      </c>
      <c r="C10" s="41" t="s">
        <v>304</v>
      </c>
      <c r="D10" s="41" t="s">
        <v>305</v>
      </c>
      <c r="E10" s="41" t="s">
        <v>306</v>
      </c>
      <c r="F10" s="46" t="s">
        <v>99</v>
      </c>
      <c r="G10" s="40" t="s">
        <v>62</v>
      </c>
      <c r="H10" s="40" t="s">
        <v>63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307</v>
      </c>
      <c r="B11" s="36" t="s">
        <v>299</v>
      </c>
      <c r="C11" s="36" t="s">
        <v>308</v>
      </c>
      <c r="D11" s="36" t="s">
        <v>309</v>
      </c>
      <c r="E11" s="36" t="s">
        <v>310</v>
      </c>
      <c r="F11" s="47" t="s">
        <v>99</v>
      </c>
      <c r="G11" s="35" t="s">
        <v>62</v>
      </c>
      <c r="H11" s="35" t="s">
        <v>63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311</v>
      </c>
      <c r="B12" s="41" t="s">
        <v>299</v>
      </c>
      <c r="C12" s="41" t="s">
        <v>312</v>
      </c>
      <c r="D12" s="41" t="s">
        <v>313</v>
      </c>
      <c r="E12" s="41" t="s">
        <v>314</v>
      </c>
      <c r="F12" s="44" t="s">
        <v>72</v>
      </c>
      <c r="G12" s="40" t="s">
        <v>62</v>
      </c>
      <c r="H12" s="40" t="s">
        <v>63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315</v>
      </c>
      <c r="B13" s="36" t="s">
        <v>316</v>
      </c>
      <c r="C13" s="36" t="s">
        <v>317</v>
      </c>
      <c r="D13" s="36" t="s">
        <v>318</v>
      </c>
      <c r="E13" s="36" t="s">
        <v>319</v>
      </c>
      <c r="F13" s="37" t="s">
        <v>5</v>
      </c>
      <c r="G13" s="35" t="s">
        <v>62</v>
      </c>
      <c r="H13" s="35" t="s">
        <v>63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320</v>
      </c>
      <c r="B14" s="41" t="s">
        <v>316</v>
      </c>
      <c r="C14" s="41" t="s">
        <v>321</v>
      </c>
      <c r="D14" s="41" t="s">
        <v>322</v>
      </c>
      <c r="E14" s="41" t="s">
        <v>323</v>
      </c>
      <c r="F14" s="44" t="s">
        <v>72</v>
      </c>
      <c r="G14" s="40" t="s">
        <v>324</v>
      </c>
      <c r="H14" s="40" t="s">
        <v>63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325</v>
      </c>
      <c r="B15" s="36" t="s">
        <v>326</v>
      </c>
      <c r="C15" s="36" t="s">
        <v>327</v>
      </c>
      <c r="D15" s="36" t="s">
        <v>328</v>
      </c>
      <c r="E15" s="36" t="s">
        <v>329</v>
      </c>
      <c r="F15" s="37" t="s">
        <v>5</v>
      </c>
      <c r="G15" s="35" t="s">
        <v>62</v>
      </c>
      <c r="H15" s="35" t="s">
        <v>63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330</v>
      </c>
      <c r="B16" s="41" t="s">
        <v>326</v>
      </c>
      <c r="C16" s="41" t="s">
        <v>331</v>
      </c>
      <c r="D16" s="41" t="s">
        <v>332</v>
      </c>
      <c r="E16" s="41" t="s">
        <v>333</v>
      </c>
      <c r="F16" s="46" t="s">
        <v>99</v>
      </c>
      <c r="G16" s="40" t="s">
        <v>73</v>
      </c>
      <c r="H16" s="40" t="s">
        <v>56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334</v>
      </c>
      <c r="B17" s="36" t="s">
        <v>335</v>
      </c>
      <c r="C17" s="36" t="s">
        <v>336</v>
      </c>
      <c r="D17" s="36" t="s">
        <v>337</v>
      </c>
      <c r="E17" s="36" t="s">
        <v>338</v>
      </c>
      <c r="F17" s="45" t="s">
        <v>72</v>
      </c>
      <c r="G17" s="35" t="s">
        <v>62</v>
      </c>
      <c r="H17" s="35" t="s">
        <v>63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339</v>
      </c>
      <c r="B18" s="41" t="s">
        <v>340</v>
      </c>
      <c r="C18" s="41" t="s">
        <v>341</v>
      </c>
      <c r="D18" s="41" t="s">
        <v>342</v>
      </c>
      <c r="E18" s="41" t="s">
        <v>343</v>
      </c>
      <c r="F18" s="42" t="s">
        <v>5</v>
      </c>
      <c r="G18" s="40" t="s">
        <v>62</v>
      </c>
      <c r="H18" s="40" t="s">
        <v>63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>
      <c r="A19" s="35" t="s">
        <v>344</v>
      </c>
      <c r="B19" s="36" t="s">
        <v>340</v>
      </c>
      <c r="C19" s="36" t="s">
        <v>345</v>
      </c>
      <c r="D19" s="36" t="s">
        <v>346</v>
      </c>
      <c r="E19" s="36" t="s">
        <v>347</v>
      </c>
      <c r="F19" s="37" t="s">
        <v>5</v>
      </c>
      <c r="G19" s="35" t="s">
        <v>62</v>
      </c>
      <c r="H19" s="35" t="s">
        <v>63</v>
      </c>
      <c r="I19" s="35" t="s">
        <v>9</v>
      </c>
      <c r="J19" s="39" t="s">
        <v>57</v>
      </c>
      <c r="K19" s="35" t="s">
        <v>57</v>
      </c>
      <c r="L19" s="36" t="s">
        <v>57</v>
      </c>
    </row>
    <row r="20">
      <c r="A20" s="40" t="s">
        <v>348</v>
      </c>
      <c r="B20" s="41" t="s">
        <v>340</v>
      </c>
      <c r="C20" s="41" t="s">
        <v>349</v>
      </c>
      <c r="D20" s="41" t="s">
        <v>350</v>
      </c>
      <c r="E20" s="41" t="s">
        <v>351</v>
      </c>
      <c r="F20" s="42" t="s">
        <v>5</v>
      </c>
      <c r="G20" s="40" t="s">
        <v>62</v>
      </c>
      <c r="H20" s="40" t="s">
        <v>63</v>
      </c>
      <c r="I20" s="40" t="s">
        <v>9</v>
      </c>
      <c r="J20" s="43" t="s">
        <v>57</v>
      </c>
      <c r="K20" s="40" t="s">
        <v>57</v>
      </c>
      <c r="L20" s="41" t="s">
        <v>57</v>
      </c>
    </row>
    <row r="21" ht="15.75" customHeight="1">
      <c r="A21" s="35" t="s">
        <v>352</v>
      </c>
      <c r="B21" s="36" t="s">
        <v>340</v>
      </c>
      <c r="C21" s="36" t="s">
        <v>353</v>
      </c>
      <c r="D21" s="36" t="s">
        <v>354</v>
      </c>
      <c r="E21" s="36" t="s">
        <v>355</v>
      </c>
      <c r="F21" s="37" t="s">
        <v>5</v>
      </c>
      <c r="G21" s="35" t="s">
        <v>62</v>
      </c>
      <c r="H21" s="35" t="s">
        <v>63</v>
      </c>
      <c r="I21" s="35" t="s">
        <v>9</v>
      </c>
      <c r="J21" s="39" t="s">
        <v>57</v>
      </c>
      <c r="K21" s="35" t="s">
        <v>57</v>
      </c>
      <c r="L21" s="36" t="s">
        <v>57</v>
      </c>
    </row>
    <row r="22" ht="15.75" customHeight="1">
      <c r="A22" s="40" t="s">
        <v>356</v>
      </c>
      <c r="B22" s="41" t="s">
        <v>340</v>
      </c>
      <c r="C22" s="41" t="s">
        <v>357</v>
      </c>
      <c r="D22" s="41" t="s">
        <v>358</v>
      </c>
      <c r="E22" s="41" t="s">
        <v>359</v>
      </c>
      <c r="F22" s="42" t="s">
        <v>5</v>
      </c>
      <c r="G22" s="40" t="s">
        <v>62</v>
      </c>
      <c r="H22" s="40" t="s">
        <v>63</v>
      </c>
      <c r="I22" s="40" t="s">
        <v>9</v>
      </c>
      <c r="J22" s="43" t="s">
        <v>57</v>
      </c>
      <c r="K22" s="40" t="s">
        <v>57</v>
      </c>
      <c r="L22" s="41" t="s">
        <v>57</v>
      </c>
    </row>
    <row r="23" ht="15.75" customHeight="1">
      <c r="A23" s="35" t="s">
        <v>360</v>
      </c>
      <c r="B23" s="36" t="s">
        <v>361</v>
      </c>
      <c r="C23" s="36" t="s">
        <v>362</v>
      </c>
      <c r="D23" s="36" t="s">
        <v>363</v>
      </c>
      <c r="E23" s="36" t="s">
        <v>364</v>
      </c>
      <c r="F23" s="37" t="s">
        <v>5</v>
      </c>
      <c r="G23" s="35" t="s">
        <v>62</v>
      </c>
      <c r="H23" s="35" t="s">
        <v>63</v>
      </c>
      <c r="I23" s="35" t="s">
        <v>9</v>
      </c>
      <c r="J23" s="39" t="s">
        <v>57</v>
      </c>
      <c r="K23" s="35" t="s">
        <v>57</v>
      </c>
      <c r="L23" s="36" t="s">
        <v>57</v>
      </c>
    </row>
    <row r="24" ht="15.75" customHeight="1">
      <c r="A24" s="40" t="s">
        <v>365</v>
      </c>
      <c r="B24" s="41" t="s">
        <v>361</v>
      </c>
      <c r="C24" s="41" t="s">
        <v>366</v>
      </c>
      <c r="D24" s="41" t="s">
        <v>367</v>
      </c>
      <c r="E24" s="41" t="s">
        <v>368</v>
      </c>
      <c r="F24" s="44" t="s">
        <v>72</v>
      </c>
      <c r="G24" s="40" t="s">
        <v>62</v>
      </c>
      <c r="H24" s="40" t="s">
        <v>56</v>
      </c>
      <c r="I24" s="40" t="s">
        <v>9</v>
      </c>
      <c r="J24" s="43" t="s">
        <v>57</v>
      </c>
      <c r="K24" s="40" t="s">
        <v>57</v>
      </c>
      <c r="L24" s="41" t="s">
        <v>57</v>
      </c>
    </row>
    <row r="25" ht="15.75" customHeight="1">
      <c r="A25" s="35" t="s">
        <v>369</v>
      </c>
      <c r="B25" s="36" t="s">
        <v>370</v>
      </c>
      <c r="C25" s="36" t="s">
        <v>371</v>
      </c>
      <c r="D25" s="36" t="s">
        <v>372</v>
      </c>
      <c r="E25" s="36" t="s">
        <v>373</v>
      </c>
      <c r="F25" s="45" t="s">
        <v>72</v>
      </c>
      <c r="G25" s="35" t="s">
        <v>62</v>
      </c>
      <c r="H25" s="35" t="s">
        <v>56</v>
      </c>
      <c r="I25" s="35" t="s">
        <v>9</v>
      </c>
      <c r="J25" s="39" t="s">
        <v>57</v>
      </c>
      <c r="K25" s="35" t="s">
        <v>57</v>
      </c>
      <c r="L25" s="36" t="s">
        <v>57</v>
      </c>
    </row>
    <row r="26" ht="15.75" customHeight="1">
      <c r="A26" s="40" t="s">
        <v>374</v>
      </c>
      <c r="B26" s="41" t="s">
        <v>375</v>
      </c>
      <c r="C26" s="41" t="s">
        <v>376</v>
      </c>
      <c r="D26" s="41" t="s">
        <v>377</v>
      </c>
      <c r="E26" s="41" t="s">
        <v>378</v>
      </c>
      <c r="F26" s="44" t="s">
        <v>72</v>
      </c>
      <c r="G26" s="40" t="s">
        <v>62</v>
      </c>
      <c r="H26" s="40" t="s">
        <v>63</v>
      </c>
      <c r="I26" s="40" t="s">
        <v>9</v>
      </c>
      <c r="J26" s="43" t="s">
        <v>57</v>
      </c>
      <c r="K26" s="40" t="s">
        <v>57</v>
      </c>
      <c r="L26" s="41" t="s">
        <v>57</v>
      </c>
    </row>
    <row r="27" ht="15.75" customHeight="1">
      <c r="A27" s="35" t="s">
        <v>379</v>
      </c>
      <c r="B27" s="36" t="s">
        <v>380</v>
      </c>
      <c r="C27" s="36" t="s">
        <v>381</v>
      </c>
      <c r="D27" s="36" t="s">
        <v>382</v>
      </c>
      <c r="E27" s="36" t="s">
        <v>383</v>
      </c>
      <c r="F27" s="45" t="s">
        <v>72</v>
      </c>
      <c r="G27" s="35" t="s">
        <v>62</v>
      </c>
      <c r="H27" s="35" t="s">
        <v>56</v>
      </c>
      <c r="I27" s="35" t="s">
        <v>9</v>
      </c>
      <c r="J27" s="39" t="s">
        <v>57</v>
      </c>
      <c r="K27" s="35" t="s">
        <v>57</v>
      </c>
      <c r="L27" s="36" t="s">
        <v>57</v>
      </c>
    </row>
    <row r="28" ht="15.75" customHeight="1">
      <c r="A28" s="40" t="s">
        <v>384</v>
      </c>
      <c r="B28" s="41" t="s">
        <v>385</v>
      </c>
      <c r="C28" s="41" t="s">
        <v>386</v>
      </c>
      <c r="D28" s="41" t="s">
        <v>387</v>
      </c>
      <c r="E28" s="41" t="s">
        <v>388</v>
      </c>
      <c r="F28" s="42" t="s">
        <v>5</v>
      </c>
      <c r="G28" s="40" t="s">
        <v>55</v>
      </c>
      <c r="H28" s="40" t="s">
        <v>63</v>
      </c>
      <c r="I28" s="40" t="s">
        <v>9</v>
      </c>
      <c r="J28" s="43" t="s">
        <v>57</v>
      </c>
      <c r="K28" s="40" t="s">
        <v>57</v>
      </c>
      <c r="L28" s="41" t="s">
        <v>57</v>
      </c>
    </row>
    <row r="29" ht="15.75" customHeight="1">
      <c r="A29" s="35" t="s">
        <v>389</v>
      </c>
      <c r="B29" s="36" t="s">
        <v>385</v>
      </c>
      <c r="C29" s="36" t="s">
        <v>390</v>
      </c>
      <c r="D29" s="36" t="s">
        <v>391</v>
      </c>
      <c r="E29" s="36" t="s">
        <v>392</v>
      </c>
      <c r="F29" s="37" t="s">
        <v>5</v>
      </c>
      <c r="G29" s="35" t="s">
        <v>62</v>
      </c>
      <c r="H29" s="35" t="s">
        <v>63</v>
      </c>
      <c r="I29" s="35" t="s">
        <v>9</v>
      </c>
      <c r="J29" s="39" t="s">
        <v>57</v>
      </c>
      <c r="K29" s="35" t="s">
        <v>57</v>
      </c>
      <c r="L29" s="36" t="s">
        <v>57</v>
      </c>
    </row>
    <row r="30" ht="15.75" customHeight="1">
      <c r="A30" s="40" t="s">
        <v>393</v>
      </c>
      <c r="B30" s="41" t="s">
        <v>385</v>
      </c>
      <c r="C30" s="41" t="s">
        <v>394</v>
      </c>
      <c r="D30" s="41" t="s">
        <v>395</v>
      </c>
      <c r="E30" s="41" t="s">
        <v>396</v>
      </c>
      <c r="F30" s="44" t="s">
        <v>72</v>
      </c>
      <c r="G30" s="40" t="s">
        <v>62</v>
      </c>
      <c r="H30" s="40" t="s">
        <v>56</v>
      </c>
      <c r="I30" s="40" t="s">
        <v>9</v>
      </c>
      <c r="J30" s="43" t="s">
        <v>57</v>
      </c>
      <c r="K30" s="40" t="s">
        <v>57</v>
      </c>
      <c r="L30" s="41" t="s">
        <v>57</v>
      </c>
    </row>
    <row r="31" ht="15.75" customHeight="1">
      <c r="A31" s="35" t="s">
        <v>397</v>
      </c>
      <c r="B31" s="36" t="s">
        <v>385</v>
      </c>
      <c r="C31" s="36" t="s">
        <v>398</v>
      </c>
      <c r="D31" s="36" t="s">
        <v>399</v>
      </c>
      <c r="E31" s="36" t="s">
        <v>400</v>
      </c>
      <c r="F31" s="45" t="s">
        <v>72</v>
      </c>
      <c r="G31" s="35" t="s">
        <v>62</v>
      </c>
      <c r="H31" s="35" t="s">
        <v>63</v>
      </c>
      <c r="I31" s="35" t="s">
        <v>9</v>
      </c>
      <c r="J31" s="39" t="s">
        <v>57</v>
      </c>
      <c r="K31" s="35" t="s">
        <v>57</v>
      </c>
      <c r="L31" s="36" t="s">
        <v>57</v>
      </c>
    </row>
    <row r="32" ht="15.75" customHeight="1">
      <c r="A32" s="40" t="s">
        <v>401</v>
      </c>
      <c r="B32" s="41" t="s">
        <v>385</v>
      </c>
      <c r="C32" s="41" t="s">
        <v>402</v>
      </c>
      <c r="D32" s="41" t="s">
        <v>403</v>
      </c>
      <c r="E32" s="41" t="s">
        <v>404</v>
      </c>
      <c r="F32" s="44" t="s">
        <v>72</v>
      </c>
      <c r="G32" s="40" t="s">
        <v>62</v>
      </c>
      <c r="H32" s="40" t="s">
        <v>56</v>
      </c>
      <c r="I32" s="40" t="s">
        <v>9</v>
      </c>
      <c r="J32" s="43" t="s">
        <v>57</v>
      </c>
      <c r="K32" s="40" t="s">
        <v>57</v>
      </c>
      <c r="L32" s="41" t="s">
        <v>57</v>
      </c>
    </row>
    <row r="33" ht="15.75" customHeight="1">
      <c r="A33" s="35" t="s">
        <v>405</v>
      </c>
      <c r="B33" s="36" t="s">
        <v>385</v>
      </c>
      <c r="C33" s="36" t="s">
        <v>406</v>
      </c>
      <c r="D33" s="36" t="s">
        <v>407</v>
      </c>
      <c r="E33" s="36" t="s">
        <v>408</v>
      </c>
      <c r="F33" s="37" t="s">
        <v>5</v>
      </c>
      <c r="G33" s="35" t="s">
        <v>62</v>
      </c>
      <c r="H33" s="35" t="s">
        <v>63</v>
      </c>
      <c r="I33" s="35" t="s">
        <v>9</v>
      </c>
      <c r="J33" s="39" t="s">
        <v>57</v>
      </c>
      <c r="K33" s="35" t="s">
        <v>57</v>
      </c>
      <c r="L33" s="36" t="s">
        <v>57</v>
      </c>
    </row>
    <row r="34" ht="15.75" customHeight="1">
      <c r="A34" s="40" t="s">
        <v>409</v>
      </c>
      <c r="B34" s="41" t="s">
        <v>385</v>
      </c>
      <c r="C34" s="41" t="s">
        <v>410</v>
      </c>
      <c r="D34" s="41" t="s">
        <v>411</v>
      </c>
      <c r="E34" s="41" t="s">
        <v>412</v>
      </c>
      <c r="F34" s="44" t="s">
        <v>72</v>
      </c>
      <c r="G34" s="40" t="s">
        <v>62</v>
      </c>
      <c r="H34" s="40" t="s">
        <v>63</v>
      </c>
      <c r="I34" s="40" t="s">
        <v>9</v>
      </c>
      <c r="J34" s="43" t="s">
        <v>57</v>
      </c>
      <c r="K34" s="40" t="s">
        <v>57</v>
      </c>
      <c r="L34" s="41" t="s">
        <v>57</v>
      </c>
    </row>
    <row r="35" ht="15.75" customHeight="1">
      <c r="A35" s="35" t="s">
        <v>413</v>
      </c>
      <c r="B35" s="36" t="s">
        <v>414</v>
      </c>
      <c r="C35" s="36" t="s">
        <v>415</v>
      </c>
      <c r="D35" s="36" t="s">
        <v>416</v>
      </c>
      <c r="E35" s="36" t="s">
        <v>417</v>
      </c>
      <c r="F35" s="37" t="s">
        <v>5</v>
      </c>
      <c r="G35" s="35" t="s">
        <v>62</v>
      </c>
      <c r="H35" s="35" t="s">
        <v>56</v>
      </c>
      <c r="I35" s="35" t="s">
        <v>9</v>
      </c>
      <c r="J35" s="39" t="s">
        <v>57</v>
      </c>
      <c r="K35" s="35" t="s">
        <v>57</v>
      </c>
      <c r="L35" s="36" t="s">
        <v>57</v>
      </c>
    </row>
    <row r="36" ht="15.75" customHeight="1">
      <c r="A36" s="40" t="s">
        <v>418</v>
      </c>
      <c r="B36" s="41" t="s">
        <v>414</v>
      </c>
      <c r="C36" s="41" t="s">
        <v>419</v>
      </c>
      <c r="D36" s="41" t="s">
        <v>420</v>
      </c>
      <c r="E36" s="41" t="s">
        <v>421</v>
      </c>
      <c r="F36" s="44" t="s">
        <v>72</v>
      </c>
      <c r="G36" s="40" t="s">
        <v>62</v>
      </c>
      <c r="H36" s="40" t="s">
        <v>56</v>
      </c>
      <c r="I36" s="40" t="s">
        <v>9</v>
      </c>
      <c r="J36" s="43" t="s">
        <v>57</v>
      </c>
      <c r="K36" s="40" t="s">
        <v>57</v>
      </c>
      <c r="L36" s="41" t="s">
        <v>57</v>
      </c>
    </row>
    <row r="37" ht="15.75" customHeight="1">
      <c r="A37" s="35" t="s">
        <v>422</v>
      </c>
      <c r="B37" s="36" t="s">
        <v>275</v>
      </c>
      <c r="C37" s="36" t="s">
        <v>423</v>
      </c>
      <c r="D37" s="36" t="s">
        <v>424</v>
      </c>
      <c r="E37" s="36" t="s">
        <v>425</v>
      </c>
      <c r="F37" s="37" t="s">
        <v>5</v>
      </c>
      <c r="G37" s="35" t="s">
        <v>62</v>
      </c>
      <c r="H37" s="35" t="s">
        <v>56</v>
      </c>
      <c r="I37" s="35" t="s">
        <v>9</v>
      </c>
      <c r="J37" s="39" t="s">
        <v>57</v>
      </c>
      <c r="K37" s="35" t="s">
        <v>57</v>
      </c>
      <c r="L37" s="36" t="s">
        <v>57</v>
      </c>
    </row>
    <row r="38" ht="15.75" customHeight="1">
      <c r="A38" s="40" t="s">
        <v>426</v>
      </c>
      <c r="B38" s="41" t="s">
        <v>427</v>
      </c>
      <c r="C38" s="41" t="s">
        <v>428</v>
      </c>
      <c r="D38" s="41" t="s">
        <v>429</v>
      </c>
      <c r="E38" s="41" t="s">
        <v>430</v>
      </c>
      <c r="F38" s="42" t="s">
        <v>5</v>
      </c>
      <c r="G38" s="40" t="s">
        <v>62</v>
      </c>
      <c r="H38" s="40" t="s">
        <v>56</v>
      </c>
      <c r="I38" s="40" t="s">
        <v>9</v>
      </c>
      <c r="J38" s="43" t="s">
        <v>57</v>
      </c>
      <c r="K38" s="40" t="s">
        <v>57</v>
      </c>
      <c r="L38" s="41" t="s">
        <v>57</v>
      </c>
    </row>
    <row r="39" ht="15.75" customHeight="1">
      <c r="A39" s="35" t="s">
        <v>431</v>
      </c>
      <c r="B39" s="36" t="s">
        <v>432</v>
      </c>
      <c r="C39" s="36" t="s">
        <v>433</v>
      </c>
      <c r="D39" s="36" t="s">
        <v>434</v>
      </c>
      <c r="E39" s="36" t="s">
        <v>435</v>
      </c>
      <c r="F39" s="37" t="s">
        <v>5</v>
      </c>
      <c r="G39" s="35" t="s">
        <v>62</v>
      </c>
      <c r="H39" s="35" t="s">
        <v>56</v>
      </c>
      <c r="I39" s="35" t="s">
        <v>9</v>
      </c>
      <c r="J39" s="39" t="s">
        <v>57</v>
      </c>
      <c r="K39" s="35" t="s">
        <v>57</v>
      </c>
      <c r="L39" s="36" t="s">
        <v>57</v>
      </c>
    </row>
    <row r="40" ht="15.75" customHeight="1">
      <c r="A40" s="40" t="s">
        <v>436</v>
      </c>
      <c r="B40" s="41" t="s">
        <v>437</v>
      </c>
      <c r="C40" s="41" t="s">
        <v>438</v>
      </c>
      <c r="D40" s="41" t="s">
        <v>439</v>
      </c>
      <c r="E40" s="41" t="s">
        <v>440</v>
      </c>
      <c r="F40" s="42" t="s">
        <v>5</v>
      </c>
      <c r="G40" s="40" t="s">
        <v>62</v>
      </c>
      <c r="H40" s="40" t="s">
        <v>56</v>
      </c>
      <c r="I40" s="40" t="s">
        <v>9</v>
      </c>
      <c r="J40" s="43" t="s">
        <v>57</v>
      </c>
      <c r="K40" s="40" t="s">
        <v>57</v>
      </c>
      <c r="L40" s="41" t="s">
        <v>57</v>
      </c>
    </row>
    <row r="41" ht="15.75" customHeight="1">
      <c r="A41" s="35" t="s">
        <v>441</v>
      </c>
      <c r="B41" s="36" t="s">
        <v>437</v>
      </c>
      <c r="C41" s="36" t="s">
        <v>442</v>
      </c>
      <c r="D41" s="36" t="s">
        <v>443</v>
      </c>
      <c r="E41" s="36" t="s">
        <v>444</v>
      </c>
      <c r="F41" s="37" t="s">
        <v>5</v>
      </c>
      <c r="G41" s="35" t="s">
        <v>62</v>
      </c>
      <c r="H41" s="35" t="s">
        <v>56</v>
      </c>
      <c r="I41" s="35" t="s">
        <v>9</v>
      </c>
      <c r="J41" s="39" t="s">
        <v>57</v>
      </c>
      <c r="K41" s="35" t="s">
        <v>57</v>
      </c>
      <c r="L41" s="36" t="s">
        <v>57</v>
      </c>
    </row>
    <row r="42" ht="15.75" customHeight="1">
      <c r="A42" s="40" t="s">
        <v>445</v>
      </c>
      <c r="B42" s="41" t="s">
        <v>437</v>
      </c>
      <c r="C42" s="41" t="s">
        <v>446</v>
      </c>
      <c r="D42" s="41" t="s">
        <v>447</v>
      </c>
      <c r="E42" s="41" t="s">
        <v>448</v>
      </c>
      <c r="F42" s="44" t="s">
        <v>72</v>
      </c>
      <c r="G42" s="40" t="s">
        <v>62</v>
      </c>
      <c r="H42" s="40" t="s">
        <v>56</v>
      </c>
      <c r="I42" s="40" t="s">
        <v>9</v>
      </c>
      <c r="J42" s="43" t="s">
        <v>57</v>
      </c>
      <c r="K42" s="40" t="s">
        <v>57</v>
      </c>
      <c r="L42" s="41" t="s">
        <v>57</v>
      </c>
    </row>
    <row r="43" ht="15.75" customHeight="1">
      <c r="A43" s="35" t="s">
        <v>449</v>
      </c>
      <c r="B43" s="36" t="s">
        <v>437</v>
      </c>
      <c r="C43" s="36" t="s">
        <v>450</v>
      </c>
      <c r="D43" s="36" t="s">
        <v>451</v>
      </c>
      <c r="E43" s="36" t="s">
        <v>452</v>
      </c>
      <c r="F43" s="45" t="s">
        <v>72</v>
      </c>
      <c r="G43" s="35" t="s">
        <v>62</v>
      </c>
      <c r="H43" s="35" t="s">
        <v>56</v>
      </c>
      <c r="I43" s="35" t="s">
        <v>9</v>
      </c>
      <c r="J43" s="39" t="s">
        <v>57</v>
      </c>
      <c r="K43" s="35" t="s">
        <v>57</v>
      </c>
      <c r="L43" s="36" t="s">
        <v>57</v>
      </c>
    </row>
    <row r="44" ht="15.75" customHeight="1">
      <c r="A44" s="40" t="s">
        <v>453</v>
      </c>
      <c r="B44" s="41" t="s">
        <v>414</v>
      </c>
      <c r="C44" s="41" t="s">
        <v>454</v>
      </c>
      <c r="D44" s="41" t="s">
        <v>455</v>
      </c>
      <c r="E44" s="41" t="s">
        <v>456</v>
      </c>
      <c r="F44" s="44" t="s">
        <v>72</v>
      </c>
      <c r="G44" s="40" t="s">
        <v>62</v>
      </c>
      <c r="H44" s="40" t="s">
        <v>56</v>
      </c>
      <c r="I44" s="40" t="s">
        <v>9</v>
      </c>
      <c r="J44" s="43" t="s">
        <v>57</v>
      </c>
      <c r="K44" s="40" t="s">
        <v>57</v>
      </c>
      <c r="L44" s="41" t="s">
        <v>57</v>
      </c>
    </row>
    <row r="45" ht="15.75" customHeight="1">
      <c r="A45" s="35" t="s">
        <v>457</v>
      </c>
      <c r="B45" s="36" t="s">
        <v>414</v>
      </c>
      <c r="C45" s="36" t="s">
        <v>458</v>
      </c>
      <c r="D45" s="36" t="s">
        <v>459</v>
      </c>
      <c r="E45" s="36" t="s">
        <v>460</v>
      </c>
      <c r="F45" s="45" t="s">
        <v>72</v>
      </c>
      <c r="G45" s="35" t="s">
        <v>62</v>
      </c>
      <c r="H45" s="35" t="s">
        <v>56</v>
      </c>
      <c r="I45" s="35" t="s">
        <v>9</v>
      </c>
      <c r="J45" s="39" t="s">
        <v>57</v>
      </c>
      <c r="K45" s="35" t="s">
        <v>57</v>
      </c>
      <c r="L45" s="36" t="s">
        <v>57</v>
      </c>
    </row>
    <row r="46" ht="15.75" customHeight="1">
      <c r="A46" s="40" t="s">
        <v>461</v>
      </c>
      <c r="B46" s="41" t="s">
        <v>462</v>
      </c>
      <c r="C46" s="41" t="s">
        <v>463</v>
      </c>
      <c r="D46" s="41" t="s">
        <v>464</v>
      </c>
      <c r="E46" s="41" t="s">
        <v>465</v>
      </c>
      <c r="F46" s="42" t="s">
        <v>5</v>
      </c>
      <c r="G46" s="40" t="s">
        <v>62</v>
      </c>
      <c r="H46" s="40" t="s">
        <v>56</v>
      </c>
      <c r="I46" s="40" t="s">
        <v>9</v>
      </c>
      <c r="J46" s="43" t="s">
        <v>57</v>
      </c>
      <c r="K46" s="40" t="s">
        <v>57</v>
      </c>
      <c r="L46" s="41" t="s">
        <v>57</v>
      </c>
    </row>
    <row r="47" ht="15.75" customHeight="1">
      <c r="A47" s="35" t="s">
        <v>466</v>
      </c>
      <c r="B47" s="36" t="s">
        <v>275</v>
      </c>
      <c r="C47" s="36" t="s">
        <v>467</v>
      </c>
      <c r="D47" s="36" t="s">
        <v>468</v>
      </c>
      <c r="E47" s="36" t="s">
        <v>469</v>
      </c>
      <c r="F47" s="37" t="s">
        <v>5</v>
      </c>
      <c r="G47" s="35" t="s">
        <v>62</v>
      </c>
      <c r="H47" s="35" t="s">
        <v>56</v>
      </c>
      <c r="I47" s="35" t="s">
        <v>9</v>
      </c>
      <c r="J47" s="39" t="s">
        <v>57</v>
      </c>
      <c r="K47" s="35" t="s">
        <v>57</v>
      </c>
      <c r="L47" s="36" t="s">
        <v>57</v>
      </c>
    </row>
    <row r="48" ht="15.75" customHeight="1">
      <c r="A48" s="40" t="s">
        <v>470</v>
      </c>
      <c r="B48" s="41" t="s">
        <v>299</v>
      </c>
      <c r="C48" s="41" t="s">
        <v>471</v>
      </c>
      <c r="D48" s="41" t="s">
        <v>472</v>
      </c>
      <c r="E48" s="41" t="s">
        <v>473</v>
      </c>
      <c r="F48" s="46" t="s">
        <v>99</v>
      </c>
      <c r="G48" s="40" t="s">
        <v>62</v>
      </c>
      <c r="H48" s="40" t="s">
        <v>63</v>
      </c>
      <c r="I48" s="40" t="s">
        <v>9</v>
      </c>
      <c r="J48" s="43" t="s">
        <v>57</v>
      </c>
      <c r="K48" s="40" t="s">
        <v>57</v>
      </c>
      <c r="L48" s="41" t="s">
        <v>57</v>
      </c>
    </row>
    <row r="49" ht="15.75" customHeight="1">
      <c r="A49" s="35" t="s">
        <v>474</v>
      </c>
      <c r="B49" s="36" t="s">
        <v>299</v>
      </c>
      <c r="C49" s="36" t="s">
        <v>475</v>
      </c>
      <c r="D49" s="36" t="s">
        <v>476</v>
      </c>
      <c r="E49" s="36" t="s">
        <v>477</v>
      </c>
      <c r="F49" s="47" t="s">
        <v>99</v>
      </c>
      <c r="G49" s="35" t="s">
        <v>62</v>
      </c>
      <c r="H49" s="35" t="s">
        <v>63</v>
      </c>
      <c r="I49" s="35" t="s">
        <v>9</v>
      </c>
      <c r="J49" s="39" t="s">
        <v>57</v>
      </c>
      <c r="K49" s="35" t="s">
        <v>57</v>
      </c>
      <c r="L49" s="36" t="s">
        <v>57</v>
      </c>
    </row>
    <row r="50" ht="15.75" customHeight="1">
      <c r="A50" s="40" t="s">
        <v>478</v>
      </c>
      <c r="B50" s="41" t="s">
        <v>479</v>
      </c>
      <c r="C50" s="41" t="s">
        <v>480</v>
      </c>
      <c r="D50" s="41" t="s">
        <v>481</v>
      </c>
      <c r="E50" s="41" t="s">
        <v>482</v>
      </c>
      <c r="F50" s="42" t="s">
        <v>5</v>
      </c>
      <c r="G50" s="40" t="s">
        <v>62</v>
      </c>
      <c r="H50" s="40" t="s">
        <v>56</v>
      </c>
      <c r="I50" s="40" t="s">
        <v>9</v>
      </c>
      <c r="J50" s="43" t="s">
        <v>57</v>
      </c>
      <c r="K50" s="40" t="s">
        <v>57</v>
      </c>
      <c r="L50" s="41" t="s">
        <v>57</v>
      </c>
    </row>
    <row r="51" ht="15.75" customHeight="1">
      <c r="A51" s="35" t="s">
        <v>483</v>
      </c>
      <c r="B51" s="36" t="s">
        <v>484</v>
      </c>
      <c r="C51" s="36" t="s">
        <v>485</v>
      </c>
      <c r="D51" s="36" t="s">
        <v>486</v>
      </c>
      <c r="E51" s="36" t="s">
        <v>487</v>
      </c>
      <c r="F51" s="37" t="s">
        <v>5</v>
      </c>
      <c r="G51" s="35" t="s">
        <v>62</v>
      </c>
      <c r="H51" s="35" t="s">
        <v>63</v>
      </c>
      <c r="I51" s="35" t="s">
        <v>9</v>
      </c>
      <c r="J51" s="39" t="s">
        <v>57</v>
      </c>
      <c r="K51" s="35" t="s">
        <v>57</v>
      </c>
      <c r="L51" s="36" t="s">
        <v>57</v>
      </c>
    </row>
    <row r="52" ht="15.75" customHeight="1">
      <c r="A52" s="40" t="s">
        <v>488</v>
      </c>
      <c r="B52" s="41" t="s">
        <v>489</v>
      </c>
      <c r="C52" s="41" t="s">
        <v>490</v>
      </c>
      <c r="D52" s="41" t="s">
        <v>491</v>
      </c>
      <c r="E52" s="41" t="s">
        <v>492</v>
      </c>
      <c r="F52" s="44" t="s">
        <v>72</v>
      </c>
      <c r="G52" s="40" t="s">
        <v>73</v>
      </c>
      <c r="H52" s="40" t="s">
        <v>56</v>
      </c>
      <c r="I52" s="40" t="s">
        <v>9</v>
      </c>
      <c r="J52" s="43" t="s">
        <v>57</v>
      </c>
      <c r="K52" s="40" t="s">
        <v>57</v>
      </c>
      <c r="L52" s="41" t="s">
        <v>57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52"/>
  <mergeCells count="2">
    <mergeCell ref="A1:L1"/>
    <mergeCell ref="A2:L2"/>
  </mergeCells>
  <conditionalFormatting sqref="I5:I52">
    <cfRule type="cellIs" dxfId="0" priority="1" operator="equal">
      <formula>"Pass"</formula>
    </cfRule>
  </conditionalFormatting>
  <conditionalFormatting sqref="I5:I52">
    <cfRule type="cellIs" dxfId="1" priority="2" operator="equal">
      <formula>"Fail"</formula>
    </cfRule>
  </conditionalFormatting>
  <conditionalFormatting sqref="I5:I52">
    <cfRule type="cellIs" dxfId="2" priority="3" operator="equal">
      <formula>"Blocked"</formula>
    </cfRule>
  </conditionalFormatting>
  <dataValidations>
    <dataValidation type="list" allowBlank="1" sqref="F5:F52">
      <formula1>"P1,P2,P3"</formula1>
    </dataValidation>
    <dataValidation type="list" allowBlank="1" sqref="H5:H52">
      <formula1>"Playwright,Manual,API"</formula1>
    </dataValidation>
    <dataValidation type="list" allowBlank="1" sqref="G5:G52">
      <formula1>"Smoke,Regression,Edge,Negative"</formula1>
    </dataValidation>
    <dataValidation type="list" allowBlank="1" sqref="I5:I52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52" t="s">
        <v>493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494</v>
      </c>
    </row>
    <row r="4" ht="19.5" customHeight="1">
      <c r="A4" s="53" t="s">
        <v>38</v>
      </c>
      <c r="B4" s="53" t="s">
        <v>39</v>
      </c>
      <c r="C4" s="53" t="s">
        <v>40</v>
      </c>
      <c r="D4" s="53" t="s">
        <v>41</v>
      </c>
      <c r="E4" s="53" t="s">
        <v>42</v>
      </c>
      <c r="F4" s="53" t="s">
        <v>43</v>
      </c>
      <c r="G4" s="53" t="s">
        <v>44</v>
      </c>
      <c r="H4" s="53" t="s">
        <v>45</v>
      </c>
      <c r="I4" s="53" t="s">
        <v>46</v>
      </c>
      <c r="J4" s="53" t="s">
        <v>47</v>
      </c>
      <c r="K4" s="53" t="s">
        <v>48</v>
      </c>
      <c r="L4" s="53" t="s">
        <v>49</v>
      </c>
    </row>
    <row r="5">
      <c r="A5" s="35" t="s">
        <v>495</v>
      </c>
      <c r="B5" s="36" t="s">
        <v>282</v>
      </c>
      <c r="C5" s="36" t="s">
        <v>496</v>
      </c>
      <c r="D5" s="36" t="s">
        <v>497</v>
      </c>
      <c r="E5" s="36" t="s">
        <v>498</v>
      </c>
      <c r="F5" s="37" t="s">
        <v>5</v>
      </c>
      <c r="G5" s="35" t="s">
        <v>55</v>
      </c>
      <c r="H5" s="35" t="s">
        <v>63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499</v>
      </c>
      <c r="B6" s="41" t="s">
        <v>500</v>
      </c>
      <c r="C6" s="41" t="s">
        <v>501</v>
      </c>
      <c r="D6" s="41" t="s">
        <v>502</v>
      </c>
      <c r="E6" s="41" t="s">
        <v>503</v>
      </c>
      <c r="F6" s="46" t="s">
        <v>99</v>
      </c>
      <c r="G6" s="40" t="s">
        <v>62</v>
      </c>
      <c r="H6" s="40" t="s">
        <v>63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504</v>
      </c>
      <c r="B7" s="36" t="s">
        <v>299</v>
      </c>
      <c r="C7" s="36" t="s">
        <v>505</v>
      </c>
      <c r="D7" s="36" t="s">
        <v>506</v>
      </c>
      <c r="E7" s="36" t="s">
        <v>507</v>
      </c>
      <c r="F7" s="37" t="s">
        <v>5</v>
      </c>
      <c r="G7" s="35" t="s">
        <v>62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508</v>
      </c>
      <c r="B8" s="41" t="s">
        <v>299</v>
      </c>
      <c r="C8" s="41" t="s">
        <v>509</v>
      </c>
      <c r="D8" s="41" t="s">
        <v>510</v>
      </c>
      <c r="E8" s="41" t="s">
        <v>511</v>
      </c>
      <c r="F8" s="44" t="s">
        <v>72</v>
      </c>
      <c r="G8" s="40" t="s">
        <v>62</v>
      </c>
      <c r="H8" s="40" t="s">
        <v>56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512</v>
      </c>
      <c r="B9" s="36" t="s">
        <v>513</v>
      </c>
      <c r="C9" s="36" t="s">
        <v>514</v>
      </c>
      <c r="D9" s="36" t="s">
        <v>515</v>
      </c>
      <c r="E9" s="36" t="s">
        <v>516</v>
      </c>
      <c r="F9" s="37" t="s">
        <v>5</v>
      </c>
      <c r="G9" s="35" t="s">
        <v>62</v>
      </c>
      <c r="H9" s="35" t="s">
        <v>63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517</v>
      </c>
      <c r="B10" s="41" t="s">
        <v>513</v>
      </c>
      <c r="C10" s="41" t="s">
        <v>518</v>
      </c>
      <c r="D10" s="41" t="s">
        <v>519</v>
      </c>
      <c r="E10" s="41" t="s">
        <v>520</v>
      </c>
      <c r="F10" s="44" t="s">
        <v>72</v>
      </c>
      <c r="G10" s="40" t="s">
        <v>62</v>
      </c>
      <c r="H10" s="40" t="s">
        <v>63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521</v>
      </c>
      <c r="B11" s="36" t="s">
        <v>513</v>
      </c>
      <c r="C11" s="36" t="s">
        <v>522</v>
      </c>
      <c r="D11" s="36" t="s">
        <v>523</v>
      </c>
      <c r="E11" s="36" t="s">
        <v>524</v>
      </c>
      <c r="F11" s="37" t="s">
        <v>5</v>
      </c>
      <c r="G11" s="35" t="s">
        <v>62</v>
      </c>
      <c r="H11" s="35" t="s">
        <v>63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525</v>
      </c>
      <c r="B12" s="41" t="s">
        <v>513</v>
      </c>
      <c r="C12" s="41" t="s">
        <v>526</v>
      </c>
      <c r="D12" s="41" t="s">
        <v>527</v>
      </c>
      <c r="E12" s="41" t="s">
        <v>528</v>
      </c>
      <c r="F12" s="42" t="s">
        <v>5</v>
      </c>
      <c r="G12" s="40" t="s">
        <v>62</v>
      </c>
      <c r="H12" s="40" t="s">
        <v>56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529</v>
      </c>
      <c r="B13" s="36" t="s">
        <v>513</v>
      </c>
      <c r="C13" s="36" t="s">
        <v>530</v>
      </c>
      <c r="D13" s="36" t="s">
        <v>531</v>
      </c>
      <c r="E13" s="36" t="s">
        <v>532</v>
      </c>
      <c r="F13" s="37" t="s">
        <v>5</v>
      </c>
      <c r="G13" s="35" t="s">
        <v>62</v>
      </c>
      <c r="H13" s="35" t="s">
        <v>63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533</v>
      </c>
      <c r="B14" s="41" t="s">
        <v>513</v>
      </c>
      <c r="C14" s="41" t="s">
        <v>534</v>
      </c>
      <c r="D14" s="41" t="s">
        <v>535</v>
      </c>
      <c r="E14" s="41" t="s">
        <v>536</v>
      </c>
      <c r="F14" s="42" t="s">
        <v>5</v>
      </c>
      <c r="G14" s="40" t="s">
        <v>62</v>
      </c>
      <c r="H14" s="40" t="s">
        <v>56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537</v>
      </c>
      <c r="B15" s="36" t="s">
        <v>385</v>
      </c>
      <c r="C15" s="36" t="s">
        <v>538</v>
      </c>
      <c r="D15" s="36" t="s">
        <v>539</v>
      </c>
      <c r="E15" s="36" t="s">
        <v>540</v>
      </c>
      <c r="F15" s="37" t="s">
        <v>5</v>
      </c>
      <c r="G15" s="35" t="s">
        <v>62</v>
      </c>
      <c r="H15" s="35" t="s">
        <v>63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541</v>
      </c>
      <c r="B16" s="41" t="s">
        <v>385</v>
      </c>
      <c r="C16" s="41" t="s">
        <v>542</v>
      </c>
      <c r="D16" s="41" t="s">
        <v>543</v>
      </c>
      <c r="E16" s="41" t="s">
        <v>544</v>
      </c>
      <c r="F16" s="42" t="s">
        <v>5</v>
      </c>
      <c r="G16" s="40" t="s">
        <v>62</v>
      </c>
      <c r="H16" s="40" t="s">
        <v>56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545</v>
      </c>
      <c r="B17" s="36" t="s">
        <v>385</v>
      </c>
      <c r="C17" s="36" t="s">
        <v>546</v>
      </c>
      <c r="D17" s="36" t="s">
        <v>547</v>
      </c>
      <c r="E17" s="36" t="s">
        <v>548</v>
      </c>
      <c r="F17" s="45" t="s">
        <v>72</v>
      </c>
      <c r="G17" s="35" t="s">
        <v>62</v>
      </c>
      <c r="H17" s="35" t="s">
        <v>63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549</v>
      </c>
      <c r="B18" s="41" t="s">
        <v>385</v>
      </c>
      <c r="C18" s="41" t="s">
        <v>550</v>
      </c>
      <c r="D18" s="41" t="s">
        <v>551</v>
      </c>
      <c r="E18" s="41" t="s">
        <v>552</v>
      </c>
      <c r="F18" s="44" t="s">
        <v>72</v>
      </c>
      <c r="G18" s="40" t="s">
        <v>62</v>
      </c>
      <c r="H18" s="40" t="s">
        <v>63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>
      <c r="A19" s="35" t="s">
        <v>553</v>
      </c>
      <c r="B19" s="36" t="s">
        <v>554</v>
      </c>
      <c r="C19" s="36" t="s">
        <v>555</v>
      </c>
      <c r="D19" s="36" t="s">
        <v>556</v>
      </c>
      <c r="E19" s="36" t="s">
        <v>557</v>
      </c>
      <c r="F19" s="37" t="s">
        <v>5</v>
      </c>
      <c r="G19" s="35" t="s">
        <v>62</v>
      </c>
      <c r="H19" s="35" t="s">
        <v>56</v>
      </c>
      <c r="I19" s="35" t="s">
        <v>9</v>
      </c>
      <c r="J19" s="39" t="s">
        <v>57</v>
      </c>
      <c r="K19" s="35" t="s">
        <v>57</v>
      </c>
      <c r="L19" s="36" t="s">
        <v>57</v>
      </c>
    </row>
    <row r="20">
      <c r="A20" s="40" t="s">
        <v>558</v>
      </c>
      <c r="B20" s="41" t="s">
        <v>559</v>
      </c>
      <c r="C20" s="41" t="s">
        <v>560</v>
      </c>
      <c r="D20" s="41" t="s">
        <v>561</v>
      </c>
      <c r="E20" s="41" t="s">
        <v>562</v>
      </c>
      <c r="F20" s="44" t="s">
        <v>72</v>
      </c>
      <c r="G20" s="40" t="s">
        <v>62</v>
      </c>
      <c r="H20" s="40" t="s">
        <v>63</v>
      </c>
      <c r="I20" s="40" t="s">
        <v>9</v>
      </c>
      <c r="J20" s="43" t="s">
        <v>57</v>
      </c>
      <c r="K20" s="40" t="s">
        <v>57</v>
      </c>
      <c r="L20" s="41" t="s">
        <v>57</v>
      </c>
    </row>
    <row r="21" ht="15.75" customHeight="1">
      <c r="A21" s="35" t="s">
        <v>563</v>
      </c>
      <c r="B21" s="36" t="s">
        <v>564</v>
      </c>
      <c r="C21" s="36" t="s">
        <v>565</v>
      </c>
      <c r="D21" s="36" t="s">
        <v>566</v>
      </c>
      <c r="E21" s="36" t="s">
        <v>567</v>
      </c>
      <c r="F21" s="37" t="s">
        <v>5</v>
      </c>
      <c r="G21" s="35" t="s">
        <v>62</v>
      </c>
      <c r="H21" s="35" t="s">
        <v>56</v>
      </c>
      <c r="I21" s="35" t="s">
        <v>9</v>
      </c>
      <c r="J21" s="39" t="s">
        <v>57</v>
      </c>
      <c r="K21" s="35" t="s">
        <v>57</v>
      </c>
      <c r="L21" s="36" t="s">
        <v>57</v>
      </c>
    </row>
    <row r="22" ht="15.75" customHeight="1">
      <c r="A22" s="40" t="s">
        <v>568</v>
      </c>
      <c r="B22" s="41" t="s">
        <v>569</v>
      </c>
      <c r="C22" s="41" t="s">
        <v>570</v>
      </c>
      <c r="D22" s="41" t="s">
        <v>571</v>
      </c>
      <c r="E22" s="41" t="s">
        <v>572</v>
      </c>
      <c r="F22" s="42" t="s">
        <v>5</v>
      </c>
      <c r="G22" s="40" t="s">
        <v>62</v>
      </c>
      <c r="H22" s="40" t="s">
        <v>56</v>
      </c>
      <c r="I22" s="40" t="s">
        <v>9</v>
      </c>
      <c r="J22" s="43" t="s">
        <v>57</v>
      </c>
      <c r="K22" s="40" t="s">
        <v>57</v>
      </c>
      <c r="L22" s="41" t="s">
        <v>57</v>
      </c>
    </row>
    <row r="23" ht="15.75" customHeight="1">
      <c r="A23" s="35" t="s">
        <v>573</v>
      </c>
      <c r="B23" s="36" t="s">
        <v>275</v>
      </c>
      <c r="C23" s="36" t="s">
        <v>574</v>
      </c>
      <c r="D23" s="36" t="s">
        <v>575</v>
      </c>
      <c r="E23" s="36" t="s">
        <v>576</v>
      </c>
      <c r="F23" s="37" t="s">
        <v>5</v>
      </c>
      <c r="G23" s="35" t="s">
        <v>62</v>
      </c>
      <c r="H23" s="35" t="s">
        <v>56</v>
      </c>
      <c r="I23" s="35" t="s">
        <v>9</v>
      </c>
      <c r="J23" s="39" t="s">
        <v>57</v>
      </c>
      <c r="K23" s="35" t="s">
        <v>57</v>
      </c>
      <c r="L23" s="36" t="s">
        <v>57</v>
      </c>
    </row>
    <row r="24" ht="15.75" customHeight="1">
      <c r="A24" s="40" t="s">
        <v>577</v>
      </c>
      <c r="B24" s="41" t="s">
        <v>554</v>
      </c>
      <c r="C24" s="41" t="s">
        <v>578</v>
      </c>
      <c r="D24" s="41" t="s">
        <v>579</v>
      </c>
      <c r="E24" s="41" t="s">
        <v>580</v>
      </c>
      <c r="F24" s="42" t="s">
        <v>5</v>
      </c>
      <c r="G24" s="40" t="s">
        <v>62</v>
      </c>
      <c r="H24" s="40" t="s">
        <v>56</v>
      </c>
      <c r="I24" s="40" t="s">
        <v>9</v>
      </c>
      <c r="J24" s="43" t="s">
        <v>57</v>
      </c>
      <c r="K24" s="40" t="s">
        <v>57</v>
      </c>
      <c r="L24" s="41" t="s">
        <v>57</v>
      </c>
    </row>
    <row r="25" ht="15.75" customHeight="1">
      <c r="A25" s="35" t="s">
        <v>581</v>
      </c>
      <c r="B25" s="36" t="s">
        <v>582</v>
      </c>
      <c r="C25" s="36" t="s">
        <v>583</v>
      </c>
      <c r="D25" s="36" t="s">
        <v>584</v>
      </c>
      <c r="E25" s="36" t="s">
        <v>585</v>
      </c>
      <c r="F25" s="37" t="s">
        <v>5</v>
      </c>
      <c r="G25" s="35" t="s">
        <v>62</v>
      </c>
      <c r="H25" s="35" t="s">
        <v>56</v>
      </c>
      <c r="I25" s="35" t="s">
        <v>9</v>
      </c>
      <c r="J25" s="39" t="s">
        <v>57</v>
      </c>
      <c r="K25" s="35" t="s">
        <v>57</v>
      </c>
      <c r="L25" s="36" t="s">
        <v>57</v>
      </c>
    </row>
    <row r="26" ht="15.75" customHeight="1">
      <c r="A26" s="40" t="s">
        <v>586</v>
      </c>
      <c r="B26" s="41" t="s">
        <v>587</v>
      </c>
      <c r="C26" s="41" t="s">
        <v>588</v>
      </c>
      <c r="D26" s="41" t="s">
        <v>589</v>
      </c>
      <c r="E26" s="41" t="s">
        <v>590</v>
      </c>
      <c r="F26" s="44" t="s">
        <v>72</v>
      </c>
      <c r="G26" s="40" t="s">
        <v>62</v>
      </c>
      <c r="H26" s="40" t="s">
        <v>591</v>
      </c>
      <c r="I26" s="40" t="s">
        <v>9</v>
      </c>
      <c r="J26" s="43" t="s">
        <v>57</v>
      </c>
      <c r="K26" s="40" t="s">
        <v>57</v>
      </c>
      <c r="L26" s="41" t="s">
        <v>57</v>
      </c>
    </row>
    <row r="27" ht="15.75" customHeight="1">
      <c r="A27" s="35" t="s">
        <v>592</v>
      </c>
      <c r="B27" s="36" t="s">
        <v>593</v>
      </c>
      <c r="C27" s="36" t="s">
        <v>594</v>
      </c>
      <c r="D27" s="36" t="s">
        <v>595</v>
      </c>
      <c r="E27" s="36" t="s">
        <v>596</v>
      </c>
      <c r="F27" s="45" t="s">
        <v>72</v>
      </c>
      <c r="G27" s="35" t="s">
        <v>62</v>
      </c>
      <c r="H27" s="35" t="s">
        <v>63</v>
      </c>
      <c r="I27" s="35" t="s">
        <v>9</v>
      </c>
      <c r="J27" s="39" t="s">
        <v>57</v>
      </c>
      <c r="K27" s="35" t="s">
        <v>57</v>
      </c>
      <c r="L27" s="36" t="s">
        <v>57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27"/>
  <mergeCells count="2">
    <mergeCell ref="A1:L1"/>
    <mergeCell ref="A2:L2"/>
  </mergeCells>
  <conditionalFormatting sqref="I5:I27">
    <cfRule type="cellIs" dxfId="0" priority="1" operator="equal">
      <formula>"Pass"</formula>
    </cfRule>
  </conditionalFormatting>
  <conditionalFormatting sqref="I5:I27">
    <cfRule type="cellIs" dxfId="1" priority="2" operator="equal">
      <formula>"Fail"</formula>
    </cfRule>
  </conditionalFormatting>
  <conditionalFormatting sqref="I5:I27">
    <cfRule type="cellIs" dxfId="2" priority="3" operator="equal">
      <formula>"Blocked"</formula>
    </cfRule>
  </conditionalFormatting>
  <dataValidations>
    <dataValidation type="list" allowBlank="1" sqref="F5:F27">
      <formula1>"P1,P2,P3"</formula1>
    </dataValidation>
    <dataValidation type="list" allowBlank="1" sqref="H5:H27">
      <formula1>"Playwright,Manual,API"</formula1>
    </dataValidation>
    <dataValidation type="list" allowBlank="1" sqref="G5:G27">
      <formula1>"Smoke,Regression,Edge,Negative"</formula1>
    </dataValidation>
    <dataValidation type="list" allowBlank="1" sqref="I5:I27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54" t="s">
        <v>597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598</v>
      </c>
    </row>
    <row r="4" ht="19.5" customHeight="1">
      <c r="A4" s="55" t="s">
        <v>38</v>
      </c>
      <c r="B4" s="55" t="s">
        <v>39</v>
      </c>
      <c r="C4" s="55" t="s">
        <v>40</v>
      </c>
      <c r="D4" s="55" t="s">
        <v>41</v>
      </c>
      <c r="E4" s="55" t="s">
        <v>42</v>
      </c>
      <c r="F4" s="55" t="s">
        <v>43</v>
      </c>
      <c r="G4" s="55" t="s">
        <v>44</v>
      </c>
      <c r="H4" s="55" t="s">
        <v>45</v>
      </c>
      <c r="I4" s="55" t="s">
        <v>46</v>
      </c>
      <c r="J4" s="55" t="s">
        <v>47</v>
      </c>
      <c r="K4" s="55" t="s">
        <v>48</v>
      </c>
      <c r="L4" s="55" t="s">
        <v>49</v>
      </c>
    </row>
    <row r="5">
      <c r="A5" s="35" t="s">
        <v>599</v>
      </c>
      <c r="B5" s="36" t="s">
        <v>600</v>
      </c>
      <c r="C5" s="36" t="s">
        <v>601</v>
      </c>
      <c r="D5" s="36" t="s">
        <v>602</v>
      </c>
      <c r="E5" s="36" t="s">
        <v>603</v>
      </c>
      <c r="F5" s="37" t="s">
        <v>5</v>
      </c>
      <c r="G5" s="35" t="s">
        <v>62</v>
      </c>
      <c r="H5" s="35" t="s">
        <v>63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604</v>
      </c>
      <c r="B6" s="41" t="s">
        <v>600</v>
      </c>
      <c r="C6" s="41" t="s">
        <v>605</v>
      </c>
      <c r="D6" s="41" t="s">
        <v>606</v>
      </c>
      <c r="E6" s="41" t="s">
        <v>607</v>
      </c>
      <c r="F6" s="44" t="s">
        <v>72</v>
      </c>
      <c r="G6" s="40" t="s">
        <v>62</v>
      </c>
      <c r="H6" s="40" t="s">
        <v>63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608</v>
      </c>
      <c r="B7" s="36" t="s">
        <v>600</v>
      </c>
      <c r="C7" s="36" t="s">
        <v>609</v>
      </c>
      <c r="D7" s="36" t="s">
        <v>610</v>
      </c>
      <c r="E7" s="36" t="s">
        <v>611</v>
      </c>
      <c r="F7" s="47" t="s">
        <v>99</v>
      </c>
      <c r="G7" s="35" t="s">
        <v>62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612</v>
      </c>
      <c r="B8" s="41" t="s">
        <v>613</v>
      </c>
      <c r="C8" s="41" t="s">
        <v>614</v>
      </c>
      <c r="D8" s="41" t="s">
        <v>615</v>
      </c>
      <c r="E8" s="41" t="s">
        <v>616</v>
      </c>
      <c r="F8" s="42" t="s">
        <v>5</v>
      </c>
      <c r="G8" s="40" t="s">
        <v>55</v>
      </c>
      <c r="H8" s="40" t="s">
        <v>63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617</v>
      </c>
      <c r="B9" s="36" t="s">
        <v>613</v>
      </c>
      <c r="C9" s="36" t="s">
        <v>618</v>
      </c>
      <c r="D9" s="36" t="s">
        <v>619</v>
      </c>
      <c r="E9" s="36" t="s">
        <v>620</v>
      </c>
      <c r="F9" s="37" t="s">
        <v>5</v>
      </c>
      <c r="G9" s="35" t="s">
        <v>62</v>
      </c>
      <c r="H9" s="35" t="s">
        <v>63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621</v>
      </c>
      <c r="B10" s="41" t="s">
        <v>613</v>
      </c>
      <c r="C10" s="41" t="s">
        <v>622</v>
      </c>
      <c r="D10" s="41" t="s">
        <v>623</v>
      </c>
      <c r="E10" s="41" t="s">
        <v>624</v>
      </c>
      <c r="F10" s="42" t="s">
        <v>5</v>
      </c>
      <c r="G10" s="40" t="s">
        <v>62</v>
      </c>
      <c r="H10" s="40" t="s">
        <v>56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625</v>
      </c>
      <c r="B11" s="36" t="s">
        <v>613</v>
      </c>
      <c r="C11" s="36" t="s">
        <v>626</v>
      </c>
      <c r="D11" s="36" t="s">
        <v>627</v>
      </c>
      <c r="E11" s="36" t="s">
        <v>628</v>
      </c>
      <c r="F11" s="45" t="s">
        <v>72</v>
      </c>
      <c r="G11" s="35" t="s">
        <v>62</v>
      </c>
      <c r="H11" s="35" t="s">
        <v>56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629</v>
      </c>
      <c r="B12" s="41" t="s">
        <v>630</v>
      </c>
      <c r="C12" s="41" t="s">
        <v>631</v>
      </c>
      <c r="D12" s="41" t="s">
        <v>632</v>
      </c>
      <c r="E12" s="41" t="s">
        <v>633</v>
      </c>
      <c r="F12" s="42" t="s">
        <v>5</v>
      </c>
      <c r="G12" s="40" t="s">
        <v>62</v>
      </c>
      <c r="H12" s="40" t="s">
        <v>63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634</v>
      </c>
      <c r="B13" s="36" t="s">
        <v>630</v>
      </c>
      <c r="C13" s="36" t="s">
        <v>635</v>
      </c>
      <c r="D13" s="36" t="s">
        <v>636</v>
      </c>
      <c r="E13" s="36" t="s">
        <v>637</v>
      </c>
      <c r="F13" s="37" t="s">
        <v>5</v>
      </c>
      <c r="G13" s="35" t="s">
        <v>62</v>
      </c>
      <c r="H13" s="35" t="s">
        <v>56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638</v>
      </c>
      <c r="B14" s="41" t="s">
        <v>630</v>
      </c>
      <c r="C14" s="41" t="s">
        <v>639</v>
      </c>
      <c r="D14" s="41" t="s">
        <v>640</v>
      </c>
      <c r="E14" s="41" t="s">
        <v>641</v>
      </c>
      <c r="F14" s="44" t="s">
        <v>72</v>
      </c>
      <c r="G14" s="40" t="s">
        <v>73</v>
      </c>
      <c r="H14" s="40" t="s">
        <v>63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642</v>
      </c>
      <c r="B15" s="36" t="s">
        <v>643</v>
      </c>
      <c r="C15" s="36" t="s">
        <v>644</v>
      </c>
      <c r="D15" s="36" t="s">
        <v>645</v>
      </c>
      <c r="E15" s="36" t="s">
        <v>646</v>
      </c>
      <c r="F15" s="45" t="s">
        <v>72</v>
      </c>
      <c r="G15" s="35" t="s">
        <v>62</v>
      </c>
      <c r="H15" s="35" t="s">
        <v>63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647</v>
      </c>
      <c r="B16" s="41" t="s">
        <v>648</v>
      </c>
      <c r="C16" s="41" t="s">
        <v>649</v>
      </c>
      <c r="D16" s="41" t="s">
        <v>650</v>
      </c>
      <c r="E16" s="41" t="s">
        <v>651</v>
      </c>
      <c r="F16" s="44" t="s">
        <v>72</v>
      </c>
      <c r="G16" s="40" t="s">
        <v>62</v>
      </c>
      <c r="H16" s="40" t="s">
        <v>63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652</v>
      </c>
      <c r="B17" s="36" t="s">
        <v>653</v>
      </c>
      <c r="C17" s="36" t="s">
        <v>654</v>
      </c>
      <c r="D17" s="36" t="s">
        <v>655</v>
      </c>
      <c r="E17" s="36" t="s">
        <v>656</v>
      </c>
      <c r="F17" s="45" t="s">
        <v>72</v>
      </c>
      <c r="G17" s="35" t="s">
        <v>62</v>
      </c>
      <c r="H17" s="35" t="s">
        <v>63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657</v>
      </c>
      <c r="B18" s="41" t="s">
        <v>658</v>
      </c>
      <c r="C18" s="41" t="s">
        <v>659</v>
      </c>
      <c r="D18" s="41" t="s">
        <v>660</v>
      </c>
      <c r="E18" s="41" t="s">
        <v>661</v>
      </c>
      <c r="F18" s="44" t="s">
        <v>72</v>
      </c>
      <c r="G18" s="40" t="s">
        <v>62</v>
      </c>
      <c r="H18" s="40" t="s">
        <v>63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>
      <c r="A19" s="35" t="s">
        <v>662</v>
      </c>
      <c r="B19" s="36" t="s">
        <v>427</v>
      </c>
      <c r="C19" s="36" t="s">
        <v>663</v>
      </c>
      <c r="D19" s="36" t="s">
        <v>664</v>
      </c>
      <c r="E19" s="36" t="s">
        <v>665</v>
      </c>
      <c r="F19" s="37" t="s">
        <v>5</v>
      </c>
      <c r="G19" s="35" t="s">
        <v>62</v>
      </c>
      <c r="H19" s="35" t="s">
        <v>56</v>
      </c>
      <c r="I19" s="35" t="s">
        <v>9</v>
      </c>
      <c r="J19" s="39" t="s">
        <v>57</v>
      </c>
      <c r="K19" s="35" t="s">
        <v>57</v>
      </c>
      <c r="L19" s="36" t="s">
        <v>57</v>
      </c>
    </row>
    <row r="20">
      <c r="A20" s="40" t="s">
        <v>666</v>
      </c>
      <c r="B20" s="41" t="s">
        <v>275</v>
      </c>
      <c r="C20" s="41" t="s">
        <v>667</v>
      </c>
      <c r="D20" s="41" t="s">
        <v>668</v>
      </c>
      <c r="E20" s="41" t="s">
        <v>669</v>
      </c>
      <c r="F20" s="42" t="s">
        <v>5</v>
      </c>
      <c r="G20" s="40" t="s">
        <v>62</v>
      </c>
      <c r="H20" s="40" t="s">
        <v>56</v>
      </c>
      <c r="I20" s="40" t="s">
        <v>9</v>
      </c>
      <c r="J20" s="43" t="s">
        <v>57</v>
      </c>
      <c r="K20" s="40" t="s">
        <v>57</v>
      </c>
      <c r="L20" s="41" t="s">
        <v>57</v>
      </c>
    </row>
    <row r="21" ht="15.75" customHeight="1">
      <c r="A21" s="35" t="s">
        <v>670</v>
      </c>
      <c r="B21" s="36" t="s">
        <v>671</v>
      </c>
      <c r="C21" s="36" t="s">
        <v>672</v>
      </c>
      <c r="D21" s="36" t="s">
        <v>673</v>
      </c>
      <c r="E21" s="36" t="s">
        <v>674</v>
      </c>
      <c r="F21" s="37" t="s">
        <v>5</v>
      </c>
      <c r="G21" s="35" t="s">
        <v>62</v>
      </c>
      <c r="H21" s="35" t="s">
        <v>63</v>
      </c>
      <c r="I21" s="35" t="s">
        <v>9</v>
      </c>
      <c r="J21" s="39" t="s">
        <v>57</v>
      </c>
      <c r="K21" s="35" t="s">
        <v>57</v>
      </c>
      <c r="L21" s="36" t="s">
        <v>57</v>
      </c>
    </row>
    <row r="22" ht="15.75" customHeight="1">
      <c r="A22" s="40" t="s">
        <v>675</v>
      </c>
      <c r="B22" s="41" t="s">
        <v>676</v>
      </c>
      <c r="C22" s="41" t="s">
        <v>677</v>
      </c>
      <c r="D22" s="41" t="s">
        <v>678</v>
      </c>
      <c r="E22" s="41" t="s">
        <v>679</v>
      </c>
      <c r="F22" s="42" t="s">
        <v>5</v>
      </c>
      <c r="G22" s="40" t="s">
        <v>62</v>
      </c>
      <c r="H22" s="40" t="s">
        <v>56</v>
      </c>
      <c r="I22" s="40" t="s">
        <v>9</v>
      </c>
      <c r="J22" s="43" t="s">
        <v>57</v>
      </c>
      <c r="K22" s="40" t="s">
        <v>57</v>
      </c>
      <c r="L22" s="41" t="s">
        <v>57</v>
      </c>
    </row>
    <row r="23" ht="15.75" customHeight="1">
      <c r="A23" s="35" t="s">
        <v>680</v>
      </c>
      <c r="B23" s="36" t="s">
        <v>676</v>
      </c>
      <c r="C23" s="36" t="s">
        <v>681</v>
      </c>
      <c r="D23" s="36" t="s">
        <v>682</v>
      </c>
      <c r="E23" s="36" t="s">
        <v>683</v>
      </c>
      <c r="F23" s="37" t="s">
        <v>5</v>
      </c>
      <c r="G23" s="35" t="s">
        <v>73</v>
      </c>
      <c r="H23" s="35" t="s">
        <v>56</v>
      </c>
      <c r="I23" s="35" t="s">
        <v>9</v>
      </c>
      <c r="J23" s="39" t="s">
        <v>57</v>
      </c>
      <c r="K23" s="35" t="s">
        <v>57</v>
      </c>
      <c r="L23" s="36" t="s">
        <v>57</v>
      </c>
    </row>
    <row r="24" ht="15.75" customHeight="1">
      <c r="A24" s="40" t="s">
        <v>684</v>
      </c>
      <c r="B24" s="41" t="s">
        <v>685</v>
      </c>
      <c r="C24" s="41" t="s">
        <v>686</v>
      </c>
      <c r="D24" s="41" t="s">
        <v>687</v>
      </c>
      <c r="E24" s="41" t="s">
        <v>688</v>
      </c>
      <c r="F24" s="44" t="s">
        <v>72</v>
      </c>
      <c r="G24" s="40" t="s">
        <v>62</v>
      </c>
      <c r="H24" s="40" t="s">
        <v>63</v>
      </c>
      <c r="I24" s="40" t="s">
        <v>9</v>
      </c>
      <c r="J24" s="43" t="s">
        <v>57</v>
      </c>
      <c r="K24" s="40" t="s">
        <v>57</v>
      </c>
      <c r="L24" s="41" t="s">
        <v>57</v>
      </c>
    </row>
    <row r="25" ht="15.75" customHeight="1">
      <c r="A25" s="35" t="s">
        <v>689</v>
      </c>
      <c r="B25" s="36" t="s">
        <v>658</v>
      </c>
      <c r="C25" s="36" t="s">
        <v>690</v>
      </c>
      <c r="D25" s="36" t="s">
        <v>691</v>
      </c>
      <c r="E25" s="36" t="s">
        <v>692</v>
      </c>
      <c r="F25" s="45" t="s">
        <v>72</v>
      </c>
      <c r="G25" s="35" t="s">
        <v>62</v>
      </c>
      <c r="H25" s="35" t="s">
        <v>56</v>
      </c>
      <c r="I25" s="35" t="s">
        <v>9</v>
      </c>
      <c r="J25" s="39" t="s">
        <v>57</v>
      </c>
      <c r="K25" s="35" t="s">
        <v>57</v>
      </c>
      <c r="L25" s="36" t="s">
        <v>57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25"/>
  <mergeCells count="2">
    <mergeCell ref="A1:L1"/>
    <mergeCell ref="A2:L2"/>
  </mergeCells>
  <conditionalFormatting sqref="I5:I25">
    <cfRule type="cellIs" dxfId="0" priority="1" operator="equal">
      <formula>"Pass"</formula>
    </cfRule>
  </conditionalFormatting>
  <conditionalFormatting sqref="I5:I25">
    <cfRule type="cellIs" dxfId="1" priority="2" operator="equal">
      <formula>"Fail"</formula>
    </cfRule>
  </conditionalFormatting>
  <conditionalFormatting sqref="I5:I25">
    <cfRule type="cellIs" dxfId="2" priority="3" operator="equal">
      <formula>"Blocked"</formula>
    </cfRule>
  </conditionalFormatting>
  <dataValidations>
    <dataValidation type="list" allowBlank="1" sqref="F5:F25">
      <formula1>"P1,P2,P3"</formula1>
    </dataValidation>
    <dataValidation type="list" allowBlank="1" sqref="H5:H25">
      <formula1>"Playwright,Manual,API"</formula1>
    </dataValidation>
    <dataValidation type="list" allowBlank="1" sqref="G5:G25">
      <formula1>"Smoke,Regression,Edge,Negative"</formula1>
    </dataValidation>
    <dataValidation type="list" allowBlank="1" sqref="I5:I25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56" t="s">
        <v>693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694</v>
      </c>
    </row>
    <row r="4" ht="19.5" customHeight="1">
      <c r="A4" s="57" t="s">
        <v>38</v>
      </c>
      <c r="B4" s="57" t="s">
        <v>39</v>
      </c>
      <c r="C4" s="57" t="s">
        <v>40</v>
      </c>
      <c r="D4" s="57" t="s">
        <v>41</v>
      </c>
      <c r="E4" s="57" t="s">
        <v>42</v>
      </c>
      <c r="F4" s="57" t="s">
        <v>43</v>
      </c>
      <c r="G4" s="57" t="s">
        <v>44</v>
      </c>
      <c r="H4" s="57" t="s">
        <v>45</v>
      </c>
      <c r="I4" s="57" t="s">
        <v>46</v>
      </c>
      <c r="J4" s="57" t="s">
        <v>47</v>
      </c>
      <c r="K4" s="57" t="s">
        <v>48</v>
      </c>
      <c r="L4" s="57" t="s">
        <v>49</v>
      </c>
    </row>
    <row r="5">
      <c r="A5" s="35" t="s">
        <v>695</v>
      </c>
      <c r="B5" s="36" t="s">
        <v>600</v>
      </c>
      <c r="C5" s="36" t="s">
        <v>696</v>
      </c>
      <c r="D5" s="36" t="s">
        <v>697</v>
      </c>
      <c r="E5" s="36" t="s">
        <v>698</v>
      </c>
      <c r="F5" s="37" t="s">
        <v>5</v>
      </c>
      <c r="G5" s="35" t="s">
        <v>62</v>
      </c>
      <c r="H5" s="35" t="s">
        <v>63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699</v>
      </c>
      <c r="B6" s="41" t="s">
        <v>21</v>
      </c>
      <c r="C6" s="41" t="s">
        <v>700</v>
      </c>
      <c r="D6" s="41" t="s">
        <v>701</v>
      </c>
      <c r="E6" s="41" t="s">
        <v>702</v>
      </c>
      <c r="F6" s="44" t="s">
        <v>72</v>
      </c>
      <c r="G6" s="40" t="s">
        <v>62</v>
      </c>
      <c r="H6" s="40" t="s">
        <v>63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703</v>
      </c>
      <c r="B7" s="36" t="s">
        <v>704</v>
      </c>
      <c r="C7" s="36" t="s">
        <v>705</v>
      </c>
      <c r="D7" s="36" t="s">
        <v>706</v>
      </c>
      <c r="E7" s="36" t="s">
        <v>707</v>
      </c>
      <c r="F7" s="45" t="s">
        <v>72</v>
      </c>
      <c r="G7" s="35" t="s">
        <v>62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708</v>
      </c>
      <c r="B8" s="41" t="s">
        <v>709</v>
      </c>
      <c r="C8" s="41" t="s">
        <v>710</v>
      </c>
      <c r="D8" s="41" t="s">
        <v>711</v>
      </c>
      <c r="E8" s="41" t="s">
        <v>712</v>
      </c>
      <c r="F8" s="42" t="s">
        <v>5</v>
      </c>
      <c r="G8" s="40" t="s">
        <v>62</v>
      </c>
      <c r="H8" s="40" t="s">
        <v>63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713</v>
      </c>
      <c r="B9" s="36" t="s">
        <v>709</v>
      </c>
      <c r="C9" s="36" t="s">
        <v>714</v>
      </c>
      <c r="D9" s="36" t="s">
        <v>715</v>
      </c>
      <c r="E9" s="36" t="s">
        <v>716</v>
      </c>
      <c r="F9" s="45" t="s">
        <v>72</v>
      </c>
      <c r="G9" s="35" t="s">
        <v>62</v>
      </c>
      <c r="H9" s="35" t="s">
        <v>56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717</v>
      </c>
      <c r="B10" s="41" t="s">
        <v>709</v>
      </c>
      <c r="C10" s="41" t="s">
        <v>718</v>
      </c>
      <c r="D10" s="41" t="s">
        <v>719</v>
      </c>
      <c r="E10" s="41" t="s">
        <v>720</v>
      </c>
      <c r="F10" s="44" t="s">
        <v>72</v>
      </c>
      <c r="G10" s="40" t="s">
        <v>62</v>
      </c>
      <c r="H10" s="40" t="s">
        <v>56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721</v>
      </c>
      <c r="B11" s="36" t="s">
        <v>722</v>
      </c>
      <c r="C11" s="36" t="s">
        <v>723</v>
      </c>
      <c r="D11" s="36" t="s">
        <v>724</v>
      </c>
      <c r="E11" s="36" t="s">
        <v>725</v>
      </c>
      <c r="F11" s="45" t="s">
        <v>72</v>
      </c>
      <c r="G11" s="35" t="s">
        <v>62</v>
      </c>
      <c r="H11" s="35" t="s">
        <v>56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726</v>
      </c>
      <c r="B12" s="41" t="s">
        <v>653</v>
      </c>
      <c r="C12" s="41" t="s">
        <v>727</v>
      </c>
      <c r="D12" s="41" t="s">
        <v>728</v>
      </c>
      <c r="E12" s="41" t="s">
        <v>729</v>
      </c>
      <c r="F12" s="46" t="s">
        <v>99</v>
      </c>
      <c r="G12" s="40" t="s">
        <v>62</v>
      </c>
      <c r="H12" s="40" t="s">
        <v>63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730</v>
      </c>
      <c r="B13" s="36" t="s">
        <v>731</v>
      </c>
      <c r="C13" s="36" t="s">
        <v>732</v>
      </c>
      <c r="D13" s="36" t="s">
        <v>733</v>
      </c>
      <c r="E13" s="36" t="s">
        <v>734</v>
      </c>
      <c r="F13" s="45" t="s">
        <v>72</v>
      </c>
      <c r="G13" s="35" t="s">
        <v>62</v>
      </c>
      <c r="H13" s="35" t="s">
        <v>63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735</v>
      </c>
      <c r="B14" s="41" t="s">
        <v>736</v>
      </c>
      <c r="C14" s="41" t="s">
        <v>737</v>
      </c>
      <c r="D14" s="41" t="s">
        <v>738</v>
      </c>
      <c r="E14" s="41" t="s">
        <v>739</v>
      </c>
      <c r="F14" s="42" t="s">
        <v>5</v>
      </c>
      <c r="G14" s="40" t="s">
        <v>62</v>
      </c>
      <c r="H14" s="40" t="s">
        <v>63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740</v>
      </c>
      <c r="B15" s="36" t="s">
        <v>736</v>
      </c>
      <c r="C15" s="36" t="s">
        <v>741</v>
      </c>
      <c r="D15" s="36" t="s">
        <v>742</v>
      </c>
      <c r="E15" s="36" t="s">
        <v>743</v>
      </c>
      <c r="F15" s="37" t="s">
        <v>5</v>
      </c>
      <c r="G15" s="35" t="s">
        <v>62</v>
      </c>
      <c r="H15" s="35" t="s">
        <v>56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744</v>
      </c>
      <c r="B16" s="41" t="s">
        <v>658</v>
      </c>
      <c r="C16" s="41" t="s">
        <v>745</v>
      </c>
      <c r="D16" s="41" t="s">
        <v>746</v>
      </c>
      <c r="E16" s="41" t="s">
        <v>747</v>
      </c>
      <c r="F16" s="46" t="s">
        <v>99</v>
      </c>
      <c r="G16" s="40" t="s">
        <v>62</v>
      </c>
      <c r="H16" s="40" t="s">
        <v>63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748</v>
      </c>
      <c r="B17" s="36" t="s">
        <v>275</v>
      </c>
      <c r="C17" s="36" t="s">
        <v>749</v>
      </c>
      <c r="D17" s="36" t="s">
        <v>750</v>
      </c>
      <c r="E17" s="36" t="s">
        <v>751</v>
      </c>
      <c r="F17" s="37" t="s">
        <v>5</v>
      </c>
      <c r="G17" s="35" t="s">
        <v>62</v>
      </c>
      <c r="H17" s="35" t="s">
        <v>56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752</v>
      </c>
      <c r="B18" s="41" t="s">
        <v>676</v>
      </c>
      <c r="C18" s="41" t="s">
        <v>753</v>
      </c>
      <c r="D18" s="41" t="s">
        <v>754</v>
      </c>
      <c r="E18" s="41" t="s">
        <v>755</v>
      </c>
      <c r="F18" s="42" t="s">
        <v>5</v>
      </c>
      <c r="G18" s="40" t="s">
        <v>62</v>
      </c>
      <c r="H18" s="40" t="s">
        <v>56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>
      <c r="A19" s="35" t="s">
        <v>756</v>
      </c>
      <c r="B19" s="36" t="s">
        <v>736</v>
      </c>
      <c r="C19" s="36" t="s">
        <v>757</v>
      </c>
      <c r="D19" s="36" t="s">
        <v>738</v>
      </c>
      <c r="E19" s="36" t="s">
        <v>758</v>
      </c>
      <c r="F19" s="47" t="s">
        <v>99</v>
      </c>
      <c r="G19" s="35" t="s">
        <v>62</v>
      </c>
      <c r="H19" s="35" t="s">
        <v>63</v>
      </c>
      <c r="I19" s="35" t="s">
        <v>9</v>
      </c>
      <c r="J19" s="39" t="s">
        <v>57</v>
      </c>
      <c r="K19" s="35" t="s">
        <v>57</v>
      </c>
      <c r="L19" s="36" t="s">
        <v>57</v>
      </c>
    </row>
    <row r="20">
      <c r="A20" s="40" t="s">
        <v>759</v>
      </c>
      <c r="B20" s="41" t="s">
        <v>591</v>
      </c>
      <c r="C20" s="41" t="s">
        <v>760</v>
      </c>
      <c r="D20" s="41" t="s">
        <v>761</v>
      </c>
      <c r="E20" s="41" t="s">
        <v>762</v>
      </c>
      <c r="F20" s="44" t="s">
        <v>72</v>
      </c>
      <c r="G20" s="40" t="s">
        <v>62</v>
      </c>
      <c r="H20" s="40" t="s">
        <v>591</v>
      </c>
      <c r="I20" s="40" t="s">
        <v>9</v>
      </c>
      <c r="J20" s="43" t="s">
        <v>57</v>
      </c>
      <c r="K20" s="40" t="s">
        <v>57</v>
      </c>
      <c r="L20" s="41" t="s">
        <v>57</v>
      </c>
    </row>
    <row r="21" ht="15.75" customHeight="1">
      <c r="A21" s="35" t="s">
        <v>763</v>
      </c>
      <c r="B21" s="36" t="s">
        <v>658</v>
      </c>
      <c r="C21" s="36" t="s">
        <v>764</v>
      </c>
      <c r="D21" s="36" t="s">
        <v>765</v>
      </c>
      <c r="E21" s="36" t="s">
        <v>766</v>
      </c>
      <c r="F21" s="45" t="s">
        <v>72</v>
      </c>
      <c r="G21" s="35" t="s">
        <v>62</v>
      </c>
      <c r="H21" s="35" t="s">
        <v>56</v>
      </c>
      <c r="I21" s="35" t="s">
        <v>9</v>
      </c>
      <c r="J21" s="39" t="s">
        <v>57</v>
      </c>
      <c r="K21" s="35" t="s">
        <v>57</v>
      </c>
      <c r="L21" s="36" t="s">
        <v>57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21"/>
  <mergeCells count="2">
    <mergeCell ref="A1:L1"/>
    <mergeCell ref="A2:L2"/>
  </mergeCells>
  <conditionalFormatting sqref="I5:I21">
    <cfRule type="cellIs" dxfId="0" priority="1" operator="equal">
      <formula>"Pass"</formula>
    </cfRule>
  </conditionalFormatting>
  <conditionalFormatting sqref="I5:I21">
    <cfRule type="cellIs" dxfId="1" priority="2" operator="equal">
      <formula>"Fail"</formula>
    </cfRule>
  </conditionalFormatting>
  <conditionalFormatting sqref="I5:I21">
    <cfRule type="cellIs" dxfId="2" priority="3" operator="equal">
      <formula>"Blocked"</formula>
    </cfRule>
  </conditionalFormatting>
  <dataValidations>
    <dataValidation type="list" allowBlank="1" sqref="F5:F21">
      <formula1>"P1,P2,P3"</formula1>
    </dataValidation>
    <dataValidation type="list" allowBlank="1" sqref="H5:H21">
      <formula1>"Playwright,Manual,API"</formula1>
    </dataValidation>
    <dataValidation type="list" allowBlank="1" sqref="G5:G21">
      <formula1>"Smoke,Regression,Edge,Negative"</formula1>
    </dataValidation>
    <dataValidation type="list" allowBlank="1" sqref="I5:I21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58" t="s">
        <v>767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768</v>
      </c>
    </row>
    <row r="4" ht="19.5" customHeight="1">
      <c r="A4" s="59" t="s">
        <v>38</v>
      </c>
      <c r="B4" s="59" t="s">
        <v>39</v>
      </c>
      <c r="C4" s="59" t="s">
        <v>40</v>
      </c>
      <c r="D4" s="59" t="s">
        <v>41</v>
      </c>
      <c r="E4" s="59" t="s">
        <v>42</v>
      </c>
      <c r="F4" s="59" t="s">
        <v>43</v>
      </c>
      <c r="G4" s="59" t="s">
        <v>44</v>
      </c>
      <c r="H4" s="59" t="s">
        <v>45</v>
      </c>
      <c r="I4" s="59" t="s">
        <v>46</v>
      </c>
      <c r="J4" s="59" t="s">
        <v>47</v>
      </c>
      <c r="K4" s="59" t="s">
        <v>48</v>
      </c>
      <c r="L4" s="59" t="s">
        <v>49</v>
      </c>
    </row>
    <row r="5">
      <c r="A5" s="35" t="s">
        <v>769</v>
      </c>
      <c r="B5" s="36" t="s">
        <v>770</v>
      </c>
      <c r="C5" s="36" t="s">
        <v>771</v>
      </c>
      <c r="D5" s="36" t="s">
        <v>772</v>
      </c>
      <c r="E5" s="36" t="s">
        <v>773</v>
      </c>
      <c r="F5" s="37" t="s">
        <v>5</v>
      </c>
      <c r="G5" s="35" t="s">
        <v>55</v>
      </c>
      <c r="H5" s="35" t="s">
        <v>63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774</v>
      </c>
      <c r="B6" s="41" t="s">
        <v>770</v>
      </c>
      <c r="C6" s="41" t="s">
        <v>775</v>
      </c>
      <c r="D6" s="41" t="s">
        <v>776</v>
      </c>
      <c r="E6" s="41" t="s">
        <v>777</v>
      </c>
      <c r="F6" s="42" t="s">
        <v>5</v>
      </c>
      <c r="G6" s="40" t="s">
        <v>62</v>
      </c>
      <c r="H6" s="40" t="s">
        <v>63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778</v>
      </c>
      <c r="B7" s="36" t="s">
        <v>770</v>
      </c>
      <c r="C7" s="36" t="s">
        <v>779</v>
      </c>
      <c r="D7" s="36" t="s">
        <v>780</v>
      </c>
      <c r="E7" s="36" t="s">
        <v>781</v>
      </c>
      <c r="F7" s="37" t="s">
        <v>5</v>
      </c>
      <c r="G7" s="35" t="s">
        <v>62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782</v>
      </c>
      <c r="B8" s="41" t="s">
        <v>770</v>
      </c>
      <c r="C8" s="41" t="s">
        <v>783</v>
      </c>
      <c r="D8" s="41" t="s">
        <v>784</v>
      </c>
      <c r="E8" s="41" t="s">
        <v>785</v>
      </c>
      <c r="F8" s="44" t="s">
        <v>72</v>
      </c>
      <c r="G8" s="40" t="s">
        <v>62</v>
      </c>
      <c r="H8" s="40" t="s">
        <v>63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786</v>
      </c>
      <c r="B9" s="36" t="s">
        <v>770</v>
      </c>
      <c r="C9" s="36" t="s">
        <v>787</v>
      </c>
      <c r="D9" s="36" t="s">
        <v>788</v>
      </c>
      <c r="E9" s="36" t="s">
        <v>789</v>
      </c>
      <c r="F9" s="45" t="s">
        <v>72</v>
      </c>
      <c r="G9" s="35" t="s">
        <v>62</v>
      </c>
      <c r="H9" s="35" t="s">
        <v>56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790</v>
      </c>
      <c r="B10" s="41" t="s">
        <v>770</v>
      </c>
      <c r="C10" s="41" t="s">
        <v>791</v>
      </c>
      <c r="D10" s="41" t="s">
        <v>792</v>
      </c>
      <c r="E10" s="41" t="s">
        <v>793</v>
      </c>
      <c r="F10" s="42" t="s">
        <v>5</v>
      </c>
      <c r="G10" s="40" t="s">
        <v>62</v>
      </c>
      <c r="H10" s="40" t="s">
        <v>63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794</v>
      </c>
      <c r="B11" s="36" t="s">
        <v>770</v>
      </c>
      <c r="C11" s="36" t="s">
        <v>795</v>
      </c>
      <c r="D11" s="36" t="s">
        <v>796</v>
      </c>
      <c r="E11" s="36" t="s">
        <v>797</v>
      </c>
      <c r="F11" s="45" t="s">
        <v>72</v>
      </c>
      <c r="G11" s="35" t="s">
        <v>62</v>
      </c>
      <c r="H11" s="35" t="s">
        <v>56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798</v>
      </c>
      <c r="B12" s="41" t="s">
        <v>385</v>
      </c>
      <c r="C12" s="41" t="s">
        <v>799</v>
      </c>
      <c r="D12" s="41" t="s">
        <v>800</v>
      </c>
      <c r="E12" s="41" t="s">
        <v>801</v>
      </c>
      <c r="F12" s="42" t="s">
        <v>5</v>
      </c>
      <c r="G12" s="40" t="s">
        <v>55</v>
      </c>
      <c r="H12" s="40" t="s">
        <v>63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802</v>
      </c>
      <c r="B13" s="36" t="s">
        <v>385</v>
      </c>
      <c r="C13" s="36" t="s">
        <v>803</v>
      </c>
      <c r="D13" s="36" t="s">
        <v>804</v>
      </c>
      <c r="E13" s="36" t="s">
        <v>805</v>
      </c>
      <c r="F13" s="37" t="s">
        <v>5</v>
      </c>
      <c r="G13" s="35" t="s">
        <v>62</v>
      </c>
      <c r="H13" s="35" t="s">
        <v>63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806</v>
      </c>
      <c r="B14" s="41" t="s">
        <v>385</v>
      </c>
      <c r="C14" s="41" t="s">
        <v>807</v>
      </c>
      <c r="D14" s="41" t="s">
        <v>808</v>
      </c>
      <c r="E14" s="41" t="s">
        <v>809</v>
      </c>
      <c r="F14" s="42" t="s">
        <v>5</v>
      </c>
      <c r="G14" s="40" t="s">
        <v>62</v>
      </c>
      <c r="H14" s="40" t="s">
        <v>63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810</v>
      </c>
      <c r="B15" s="36" t="s">
        <v>385</v>
      </c>
      <c r="C15" s="36" t="s">
        <v>811</v>
      </c>
      <c r="D15" s="36" t="s">
        <v>812</v>
      </c>
      <c r="E15" s="36" t="s">
        <v>813</v>
      </c>
      <c r="F15" s="45" t="s">
        <v>72</v>
      </c>
      <c r="G15" s="35" t="s">
        <v>62</v>
      </c>
      <c r="H15" s="35" t="s">
        <v>63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814</v>
      </c>
      <c r="B16" s="41" t="s">
        <v>385</v>
      </c>
      <c r="C16" s="41" t="s">
        <v>815</v>
      </c>
      <c r="D16" s="41" t="s">
        <v>816</v>
      </c>
      <c r="E16" s="41" t="s">
        <v>817</v>
      </c>
      <c r="F16" s="44" t="s">
        <v>72</v>
      </c>
      <c r="G16" s="40" t="s">
        <v>62</v>
      </c>
      <c r="H16" s="40" t="s">
        <v>56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818</v>
      </c>
      <c r="B17" s="36" t="s">
        <v>385</v>
      </c>
      <c r="C17" s="36" t="s">
        <v>819</v>
      </c>
      <c r="D17" s="36" t="s">
        <v>820</v>
      </c>
      <c r="E17" s="36" t="s">
        <v>821</v>
      </c>
      <c r="F17" s="45" t="s">
        <v>72</v>
      </c>
      <c r="G17" s="35" t="s">
        <v>62</v>
      </c>
      <c r="H17" s="35" t="s">
        <v>56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822</v>
      </c>
      <c r="B18" s="41" t="s">
        <v>385</v>
      </c>
      <c r="C18" s="41" t="s">
        <v>823</v>
      </c>
      <c r="D18" s="41" t="s">
        <v>824</v>
      </c>
      <c r="E18" s="41" t="s">
        <v>825</v>
      </c>
      <c r="F18" s="42" t="s">
        <v>5</v>
      </c>
      <c r="G18" s="40" t="s">
        <v>62</v>
      </c>
      <c r="H18" s="40" t="s">
        <v>56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>
      <c r="A19" s="35" t="s">
        <v>826</v>
      </c>
      <c r="B19" s="36" t="s">
        <v>385</v>
      </c>
      <c r="C19" s="36" t="s">
        <v>827</v>
      </c>
      <c r="D19" s="36" t="s">
        <v>828</v>
      </c>
      <c r="E19" s="36" t="s">
        <v>829</v>
      </c>
      <c r="F19" s="37" t="s">
        <v>5</v>
      </c>
      <c r="G19" s="35" t="s">
        <v>62</v>
      </c>
      <c r="H19" s="35" t="s">
        <v>56</v>
      </c>
      <c r="I19" s="35" t="s">
        <v>9</v>
      </c>
      <c r="J19" s="39" t="s">
        <v>57</v>
      </c>
      <c r="K19" s="35" t="s">
        <v>57</v>
      </c>
      <c r="L19" s="36" t="s">
        <v>57</v>
      </c>
    </row>
    <row r="20">
      <c r="A20" s="40" t="s">
        <v>830</v>
      </c>
      <c r="B20" s="41" t="s">
        <v>831</v>
      </c>
      <c r="C20" s="41" t="s">
        <v>832</v>
      </c>
      <c r="D20" s="41" t="s">
        <v>833</v>
      </c>
      <c r="E20" s="41" t="s">
        <v>834</v>
      </c>
      <c r="F20" s="44" t="s">
        <v>72</v>
      </c>
      <c r="G20" s="40" t="s">
        <v>62</v>
      </c>
      <c r="H20" s="40" t="s">
        <v>63</v>
      </c>
      <c r="I20" s="40" t="s">
        <v>9</v>
      </c>
      <c r="J20" s="43" t="s">
        <v>57</v>
      </c>
      <c r="K20" s="40" t="s">
        <v>57</v>
      </c>
      <c r="L20" s="41" t="s">
        <v>57</v>
      </c>
    </row>
    <row r="21" ht="15.75" customHeight="1">
      <c r="A21" s="35" t="s">
        <v>835</v>
      </c>
      <c r="B21" s="36" t="s">
        <v>831</v>
      </c>
      <c r="C21" s="36" t="s">
        <v>836</v>
      </c>
      <c r="D21" s="36" t="s">
        <v>837</v>
      </c>
      <c r="E21" s="36" t="s">
        <v>838</v>
      </c>
      <c r="F21" s="45" t="s">
        <v>72</v>
      </c>
      <c r="G21" s="35" t="s">
        <v>62</v>
      </c>
      <c r="H21" s="35" t="s">
        <v>56</v>
      </c>
      <c r="I21" s="35" t="s">
        <v>9</v>
      </c>
      <c r="J21" s="39" t="s">
        <v>57</v>
      </c>
      <c r="K21" s="35" t="s">
        <v>57</v>
      </c>
      <c r="L21" s="36" t="s">
        <v>57</v>
      </c>
    </row>
    <row r="22" ht="15.75" customHeight="1">
      <c r="A22" s="40" t="s">
        <v>839</v>
      </c>
      <c r="B22" s="41" t="s">
        <v>840</v>
      </c>
      <c r="C22" s="41" t="s">
        <v>841</v>
      </c>
      <c r="D22" s="41" t="s">
        <v>842</v>
      </c>
      <c r="E22" s="41" t="s">
        <v>843</v>
      </c>
      <c r="F22" s="44" t="s">
        <v>72</v>
      </c>
      <c r="G22" s="40" t="s">
        <v>62</v>
      </c>
      <c r="H22" s="40" t="s">
        <v>56</v>
      </c>
      <c r="I22" s="40" t="s">
        <v>9</v>
      </c>
      <c r="J22" s="43" t="s">
        <v>57</v>
      </c>
      <c r="K22" s="40" t="s">
        <v>57</v>
      </c>
      <c r="L22" s="41" t="s">
        <v>57</v>
      </c>
    </row>
    <row r="23" ht="15.75" customHeight="1">
      <c r="A23" s="35" t="s">
        <v>844</v>
      </c>
      <c r="B23" s="36" t="s">
        <v>275</v>
      </c>
      <c r="C23" s="36" t="s">
        <v>845</v>
      </c>
      <c r="D23" s="36" t="s">
        <v>846</v>
      </c>
      <c r="E23" s="36" t="s">
        <v>847</v>
      </c>
      <c r="F23" s="37" t="s">
        <v>5</v>
      </c>
      <c r="G23" s="35" t="s">
        <v>62</v>
      </c>
      <c r="H23" s="35" t="s">
        <v>56</v>
      </c>
      <c r="I23" s="35" t="s">
        <v>9</v>
      </c>
      <c r="J23" s="39" t="s">
        <v>57</v>
      </c>
      <c r="K23" s="35" t="s">
        <v>57</v>
      </c>
      <c r="L23" s="36" t="s">
        <v>57</v>
      </c>
    </row>
    <row r="24" ht="15.75" customHeight="1">
      <c r="A24" s="40" t="s">
        <v>848</v>
      </c>
      <c r="B24" s="41" t="s">
        <v>849</v>
      </c>
      <c r="C24" s="41" t="s">
        <v>850</v>
      </c>
      <c r="D24" s="41" t="s">
        <v>851</v>
      </c>
      <c r="E24" s="41" t="s">
        <v>852</v>
      </c>
      <c r="F24" s="42" t="s">
        <v>5</v>
      </c>
      <c r="G24" s="40" t="s">
        <v>62</v>
      </c>
      <c r="H24" s="40" t="s">
        <v>56</v>
      </c>
      <c r="I24" s="40" t="s">
        <v>9</v>
      </c>
      <c r="J24" s="43" t="s">
        <v>57</v>
      </c>
      <c r="K24" s="40" t="s">
        <v>57</v>
      </c>
      <c r="L24" s="41" t="s">
        <v>57</v>
      </c>
    </row>
    <row r="25" ht="15.75" customHeight="1">
      <c r="A25" s="35" t="s">
        <v>853</v>
      </c>
      <c r="B25" s="36" t="s">
        <v>854</v>
      </c>
      <c r="C25" s="36" t="s">
        <v>855</v>
      </c>
      <c r="D25" s="36" t="s">
        <v>856</v>
      </c>
      <c r="E25" s="36" t="s">
        <v>857</v>
      </c>
      <c r="F25" s="37" t="s">
        <v>5</v>
      </c>
      <c r="G25" s="35" t="s">
        <v>62</v>
      </c>
      <c r="H25" s="35" t="s">
        <v>56</v>
      </c>
      <c r="I25" s="35" t="s">
        <v>9</v>
      </c>
      <c r="J25" s="39" t="s">
        <v>57</v>
      </c>
      <c r="K25" s="35" t="s">
        <v>57</v>
      </c>
      <c r="L25" s="36" t="s">
        <v>57</v>
      </c>
    </row>
    <row r="26" ht="15.75" customHeight="1">
      <c r="A26" s="40" t="s">
        <v>858</v>
      </c>
      <c r="B26" s="41" t="s">
        <v>859</v>
      </c>
      <c r="C26" s="41" t="s">
        <v>860</v>
      </c>
      <c r="D26" s="41" t="s">
        <v>861</v>
      </c>
      <c r="E26" s="41" t="s">
        <v>862</v>
      </c>
      <c r="F26" s="42" t="s">
        <v>5</v>
      </c>
      <c r="G26" s="40" t="s">
        <v>62</v>
      </c>
      <c r="H26" s="40" t="s">
        <v>591</v>
      </c>
      <c r="I26" s="40" t="s">
        <v>9</v>
      </c>
      <c r="J26" s="43" t="s">
        <v>57</v>
      </c>
      <c r="K26" s="40" t="s">
        <v>57</v>
      </c>
      <c r="L26" s="41" t="s">
        <v>57</v>
      </c>
    </row>
    <row r="27" ht="15.75" customHeight="1">
      <c r="A27" s="35" t="s">
        <v>863</v>
      </c>
      <c r="B27" s="36" t="s">
        <v>864</v>
      </c>
      <c r="C27" s="36" t="s">
        <v>865</v>
      </c>
      <c r="D27" s="36" t="s">
        <v>866</v>
      </c>
      <c r="E27" s="36" t="s">
        <v>867</v>
      </c>
      <c r="F27" s="45" t="s">
        <v>72</v>
      </c>
      <c r="G27" s="35" t="s">
        <v>62</v>
      </c>
      <c r="H27" s="35" t="s">
        <v>56</v>
      </c>
      <c r="I27" s="35" t="s">
        <v>9</v>
      </c>
      <c r="J27" s="39" t="s">
        <v>57</v>
      </c>
      <c r="K27" s="35" t="s">
        <v>57</v>
      </c>
      <c r="L27" s="36" t="s">
        <v>57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27"/>
  <mergeCells count="2">
    <mergeCell ref="A1:L1"/>
    <mergeCell ref="A2:L2"/>
  </mergeCells>
  <conditionalFormatting sqref="I5:I27">
    <cfRule type="cellIs" dxfId="0" priority="1" operator="equal">
      <formula>"Pass"</formula>
    </cfRule>
  </conditionalFormatting>
  <conditionalFormatting sqref="I5:I27">
    <cfRule type="cellIs" dxfId="1" priority="2" operator="equal">
      <formula>"Fail"</formula>
    </cfRule>
  </conditionalFormatting>
  <conditionalFormatting sqref="I5:I27">
    <cfRule type="cellIs" dxfId="2" priority="3" operator="equal">
      <formula>"Blocked"</formula>
    </cfRule>
  </conditionalFormatting>
  <dataValidations>
    <dataValidation type="list" allowBlank="1" sqref="F5:F27">
      <formula1>"P1,P2,P3"</formula1>
    </dataValidation>
    <dataValidation type="list" allowBlank="1" sqref="H5:H27">
      <formula1>"Playwright,Manual,API"</formula1>
    </dataValidation>
    <dataValidation type="list" allowBlank="1" sqref="G5:G27">
      <formula1>"Smoke,Regression,Edge,Negative"</formula1>
    </dataValidation>
    <dataValidation type="list" allowBlank="1" sqref="I5:I27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60" t="s">
        <v>868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869</v>
      </c>
    </row>
    <row r="4" ht="19.5" customHeight="1">
      <c r="A4" s="61" t="s">
        <v>38</v>
      </c>
      <c r="B4" s="61" t="s">
        <v>39</v>
      </c>
      <c r="C4" s="61" t="s">
        <v>40</v>
      </c>
      <c r="D4" s="61" t="s">
        <v>41</v>
      </c>
      <c r="E4" s="61" t="s">
        <v>42</v>
      </c>
      <c r="F4" s="61" t="s">
        <v>43</v>
      </c>
      <c r="G4" s="61" t="s">
        <v>44</v>
      </c>
      <c r="H4" s="61" t="s">
        <v>45</v>
      </c>
      <c r="I4" s="61" t="s">
        <v>46</v>
      </c>
      <c r="J4" s="61" t="s">
        <v>47</v>
      </c>
      <c r="K4" s="61" t="s">
        <v>48</v>
      </c>
      <c r="L4" s="61" t="s">
        <v>49</v>
      </c>
    </row>
    <row r="5">
      <c r="A5" s="35" t="s">
        <v>870</v>
      </c>
      <c r="B5" s="36" t="s">
        <v>871</v>
      </c>
      <c r="C5" s="36" t="s">
        <v>872</v>
      </c>
      <c r="D5" s="36" t="s">
        <v>873</v>
      </c>
      <c r="E5" s="36" t="s">
        <v>874</v>
      </c>
      <c r="F5" s="37" t="s">
        <v>5</v>
      </c>
      <c r="G5" s="35" t="s">
        <v>55</v>
      </c>
      <c r="H5" s="35" t="s">
        <v>63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875</v>
      </c>
      <c r="B6" s="41" t="s">
        <v>871</v>
      </c>
      <c r="C6" s="41" t="s">
        <v>876</v>
      </c>
      <c r="D6" s="41" t="s">
        <v>877</v>
      </c>
      <c r="E6" s="41" t="s">
        <v>878</v>
      </c>
      <c r="F6" s="42" t="s">
        <v>5</v>
      </c>
      <c r="G6" s="40" t="s">
        <v>62</v>
      </c>
      <c r="H6" s="40" t="s">
        <v>63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879</v>
      </c>
      <c r="B7" s="36" t="s">
        <v>880</v>
      </c>
      <c r="C7" s="36" t="s">
        <v>881</v>
      </c>
      <c r="D7" s="36" t="s">
        <v>882</v>
      </c>
      <c r="E7" s="36" t="s">
        <v>883</v>
      </c>
      <c r="F7" s="45" t="s">
        <v>72</v>
      </c>
      <c r="G7" s="35" t="s">
        <v>62</v>
      </c>
      <c r="H7" s="35" t="s">
        <v>56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884</v>
      </c>
      <c r="B8" s="41" t="s">
        <v>885</v>
      </c>
      <c r="C8" s="41" t="s">
        <v>886</v>
      </c>
      <c r="D8" s="41" t="s">
        <v>887</v>
      </c>
      <c r="E8" s="41" t="s">
        <v>888</v>
      </c>
      <c r="F8" s="42" t="s">
        <v>5</v>
      </c>
      <c r="G8" s="40" t="s">
        <v>62</v>
      </c>
      <c r="H8" s="40" t="s">
        <v>56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889</v>
      </c>
      <c r="B9" s="36" t="s">
        <v>316</v>
      </c>
      <c r="C9" s="36" t="s">
        <v>890</v>
      </c>
      <c r="D9" s="36" t="s">
        <v>891</v>
      </c>
      <c r="E9" s="36" t="s">
        <v>892</v>
      </c>
      <c r="F9" s="45" t="s">
        <v>72</v>
      </c>
      <c r="G9" s="35" t="s">
        <v>62</v>
      </c>
      <c r="H9" s="35" t="s">
        <v>63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893</v>
      </c>
      <c r="B10" s="41" t="s">
        <v>871</v>
      </c>
      <c r="C10" s="41" t="s">
        <v>894</v>
      </c>
      <c r="D10" s="41" t="s">
        <v>895</v>
      </c>
      <c r="E10" s="41" t="s">
        <v>896</v>
      </c>
      <c r="F10" s="46" t="s">
        <v>99</v>
      </c>
      <c r="G10" s="40" t="s">
        <v>62</v>
      </c>
      <c r="H10" s="40" t="s">
        <v>63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897</v>
      </c>
      <c r="B11" s="36" t="s">
        <v>554</v>
      </c>
      <c r="C11" s="36" t="s">
        <v>898</v>
      </c>
      <c r="D11" s="36" t="s">
        <v>899</v>
      </c>
      <c r="E11" s="36" t="s">
        <v>900</v>
      </c>
      <c r="F11" s="45" t="s">
        <v>72</v>
      </c>
      <c r="G11" s="35" t="s">
        <v>62</v>
      </c>
      <c r="H11" s="35" t="s">
        <v>56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901</v>
      </c>
      <c r="B12" s="41" t="s">
        <v>275</v>
      </c>
      <c r="C12" s="41" t="s">
        <v>902</v>
      </c>
      <c r="D12" s="41" t="s">
        <v>903</v>
      </c>
      <c r="E12" s="41" t="s">
        <v>904</v>
      </c>
      <c r="F12" s="42" t="s">
        <v>5</v>
      </c>
      <c r="G12" s="40" t="s">
        <v>62</v>
      </c>
      <c r="H12" s="40" t="s">
        <v>56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905</v>
      </c>
      <c r="B13" s="36" t="s">
        <v>906</v>
      </c>
      <c r="C13" s="36" t="s">
        <v>907</v>
      </c>
      <c r="D13" s="36" t="s">
        <v>908</v>
      </c>
      <c r="E13" s="36" t="s">
        <v>909</v>
      </c>
      <c r="F13" s="37" t="s">
        <v>5</v>
      </c>
      <c r="G13" s="35" t="s">
        <v>62</v>
      </c>
      <c r="H13" s="35" t="s">
        <v>63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910</v>
      </c>
      <c r="B14" s="41" t="s">
        <v>911</v>
      </c>
      <c r="C14" s="41" t="s">
        <v>912</v>
      </c>
      <c r="D14" s="41" t="s">
        <v>913</v>
      </c>
      <c r="E14" s="41" t="s">
        <v>914</v>
      </c>
      <c r="F14" s="44" t="s">
        <v>72</v>
      </c>
      <c r="G14" s="40" t="s">
        <v>62</v>
      </c>
      <c r="H14" s="40" t="s">
        <v>56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915</v>
      </c>
      <c r="B15" s="36" t="s">
        <v>916</v>
      </c>
      <c r="C15" s="36" t="s">
        <v>917</v>
      </c>
      <c r="D15" s="36" t="s">
        <v>918</v>
      </c>
      <c r="E15" s="36" t="s">
        <v>919</v>
      </c>
      <c r="F15" s="45" t="s">
        <v>72</v>
      </c>
      <c r="G15" s="35" t="s">
        <v>62</v>
      </c>
      <c r="H15" s="35" t="s">
        <v>56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920</v>
      </c>
      <c r="B16" s="41" t="s">
        <v>375</v>
      </c>
      <c r="C16" s="41" t="s">
        <v>921</v>
      </c>
      <c r="D16" s="41" t="s">
        <v>922</v>
      </c>
      <c r="E16" s="41" t="s">
        <v>923</v>
      </c>
      <c r="F16" s="44" t="s">
        <v>72</v>
      </c>
      <c r="G16" s="40" t="s">
        <v>62</v>
      </c>
      <c r="H16" s="40" t="s">
        <v>56</v>
      </c>
      <c r="I16" s="40" t="s">
        <v>9</v>
      </c>
      <c r="J16" s="43" t="s">
        <v>57</v>
      </c>
      <c r="K16" s="40" t="s">
        <v>57</v>
      </c>
      <c r="L16" s="41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16"/>
  <mergeCells count="2">
    <mergeCell ref="A1:L1"/>
    <mergeCell ref="A2:L2"/>
  </mergeCells>
  <conditionalFormatting sqref="I5:I16">
    <cfRule type="cellIs" dxfId="0" priority="1" operator="equal">
      <formula>"Pass"</formula>
    </cfRule>
  </conditionalFormatting>
  <conditionalFormatting sqref="I5:I16">
    <cfRule type="cellIs" dxfId="1" priority="2" operator="equal">
      <formula>"Fail"</formula>
    </cfRule>
  </conditionalFormatting>
  <conditionalFormatting sqref="I5:I16">
    <cfRule type="cellIs" dxfId="2" priority="3" operator="equal">
      <formula>"Blocked"</formula>
    </cfRule>
  </conditionalFormatting>
  <dataValidations>
    <dataValidation type="list" allowBlank="1" sqref="F5:F16">
      <formula1>"P1,P2,P3"</formula1>
    </dataValidation>
    <dataValidation type="list" allowBlank="1" sqref="H5:H16">
      <formula1>"Playwright,Manual,API"</formula1>
    </dataValidation>
    <dataValidation type="list" allowBlank="1" sqref="G5:G16">
      <formula1>"Smoke,Regression,Edge,Negative"</formula1>
    </dataValidation>
    <dataValidation type="list" allowBlank="1" sqref="I5:I16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62" t="s">
        <v>924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925</v>
      </c>
    </row>
    <row r="4" ht="19.5" customHeight="1">
      <c r="A4" s="63" t="s">
        <v>38</v>
      </c>
      <c r="B4" s="63" t="s">
        <v>39</v>
      </c>
      <c r="C4" s="63" t="s">
        <v>40</v>
      </c>
      <c r="D4" s="63" t="s">
        <v>41</v>
      </c>
      <c r="E4" s="63" t="s">
        <v>42</v>
      </c>
      <c r="F4" s="63" t="s">
        <v>43</v>
      </c>
      <c r="G4" s="63" t="s">
        <v>44</v>
      </c>
      <c r="H4" s="63" t="s">
        <v>45</v>
      </c>
      <c r="I4" s="63" t="s">
        <v>46</v>
      </c>
      <c r="J4" s="63" t="s">
        <v>47</v>
      </c>
      <c r="K4" s="63" t="s">
        <v>48</v>
      </c>
      <c r="L4" s="63" t="s">
        <v>49</v>
      </c>
    </row>
    <row r="5">
      <c r="A5" s="35" t="s">
        <v>926</v>
      </c>
      <c r="B5" s="36" t="s">
        <v>927</v>
      </c>
      <c r="C5" s="36" t="s">
        <v>928</v>
      </c>
      <c r="D5" s="36" t="s">
        <v>929</v>
      </c>
      <c r="E5" s="36" t="s">
        <v>930</v>
      </c>
      <c r="F5" s="37" t="s">
        <v>5</v>
      </c>
      <c r="G5" s="35" t="s">
        <v>55</v>
      </c>
      <c r="H5" s="35" t="s">
        <v>63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931</v>
      </c>
      <c r="B6" s="41" t="s">
        <v>927</v>
      </c>
      <c r="C6" s="41" t="s">
        <v>932</v>
      </c>
      <c r="D6" s="41" t="s">
        <v>933</v>
      </c>
      <c r="E6" s="41" t="s">
        <v>934</v>
      </c>
      <c r="F6" s="44" t="s">
        <v>72</v>
      </c>
      <c r="G6" s="40" t="s">
        <v>62</v>
      </c>
      <c r="H6" s="40" t="s">
        <v>63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935</v>
      </c>
      <c r="B7" s="36" t="s">
        <v>927</v>
      </c>
      <c r="C7" s="36" t="s">
        <v>936</v>
      </c>
      <c r="D7" s="36" t="s">
        <v>937</v>
      </c>
      <c r="E7" s="36" t="s">
        <v>938</v>
      </c>
      <c r="F7" s="45" t="s">
        <v>72</v>
      </c>
      <c r="G7" s="35" t="s">
        <v>62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939</v>
      </c>
      <c r="B8" s="41" t="s">
        <v>927</v>
      </c>
      <c r="C8" s="41" t="s">
        <v>940</v>
      </c>
      <c r="D8" s="41" t="s">
        <v>941</v>
      </c>
      <c r="E8" s="41" t="s">
        <v>942</v>
      </c>
      <c r="F8" s="44" t="s">
        <v>72</v>
      </c>
      <c r="G8" s="40" t="s">
        <v>62</v>
      </c>
      <c r="H8" s="40" t="s">
        <v>63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943</v>
      </c>
      <c r="B9" s="36" t="s">
        <v>944</v>
      </c>
      <c r="C9" s="36" t="s">
        <v>945</v>
      </c>
      <c r="D9" s="36" t="s">
        <v>946</v>
      </c>
      <c r="E9" s="36" t="s">
        <v>947</v>
      </c>
      <c r="F9" s="37" t="s">
        <v>5</v>
      </c>
      <c r="G9" s="35" t="s">
        <v>62</v>
      </c>
      <c r="H9" s="35" t="s">
        <v>63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948</v>
      </c>
      <c r="B10" s="41" t="s">
        <v>944</v>
      </c>
      <c r="C10" s="41" t="s">
        <v>949</v>
      </c>
      <c r="D10" s="41" t="s">
        <v>950</v>
      </c>
      <c r="E10" s="41" t="s">
        <v>951</v>
      </c>
      <c r="F10" s="44" t="s">
        <v>72</v>
      </c>
      <c r="G10" s="40" t="s">
        <v>62</v>
      </c>
      <c r="H10" s="40" t="s">
        <v>56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952</v>
      </c>
      <c r="B11" s="36" t="s">
        <v>953</v>
      </c>
      <c r="C11" s="36" t="s">
        <v>954</v>
      </c>
      <c r="D11" s="36" t="s">
        <v>955</v>
      </c>
      <c r="E11" s="36" t="s">
        <v>956</v>
      </c>
      <c r="F11" s="37" t="s">
        <v>5</v>
      </c>
      <c r="G11" s="35" t="s">
        <v>62</v>
      </c>
      <c r="H11" s="35" t="s">
        <v>63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957</v>
      </c>
      <c r="B12" s="41" t="s">
        <v>958</v>
      </c>
      <c r="C12" s="41" t="s">
        <v>959</v>
      </c>
      <c r="D12" s="41" t="s">
        <v>960</v>
      </c>
      <c r="E12" s="41" t="s">
        <v>961</v>
      </c>
      <c r="F12" s="42" t="s">
        <v>5</v>
      </c>
      <c r="G12" s="40" t="s">
        <v>62</v>
      </c>
      <c r="H12" s="40" t="s">
        <v>63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962</v>
      </c>
      <c r="B13" s="36" t="s">
        <v>275</v>
      </c>
      <c r="C13" s="36" t="s">
        <v>963</v>
      </c>
      <c r="D13" s="36" t="s">
        <v>964</v>
      </c>
      <c r="E13" s="36" t="s">
        <v>965</v>
      </c>
      <c r="F13" s="37" t="s">
        <v>5</v>
      </c>
      <c r="G13" s="35" t="s">
        <v>62</v>
      </c>
      <c r="H13" s="35" t="s">
        <v>56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966</v>
      </c>
      <c r="B14" s="41" t="s">
        <v>967</v>
      </c>
      <c r="C14" s="41" t="s">
        <v>968</v>
      </c>
      <c r="D14" s="41" t="s">
        <v>969</v>
      </c>
      <c r="E14" s="41" t="s">
        <v>970</v>
      </c>
      <c r="F14" s="44" t="s">
        <v>72</v>
      </c>
      <c r="G14" s="40" t="s">
        <v>73</v>
      </c>
      <c r="H14" s="40" t="s">
        <v>56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971</v>
      </c>
      <c r="B15" s="36" t="s">
        <v>972</v>
      </c>
      <c r="C15" s="36" t="s">
        <v>973</v>
      </c>
      <c r="D15" s="36" t="s">
        <v>974</v>
      </c>
      <c r="E15" s="36" t="s">
        <v>975</v>
      </c>
      <c r="F15" s="37" t="s">
        <v>5</v>
      </c>
      <c r="G15" s="35" t="s">
        <v>62</v>
      </c>
      <c r="H15" s="35" t="s">
        <v>56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976</v>
      </c>
      <c r="B16" s="41" t="s">
        <v>977</v>
      </c>
      <c r="C16" s="41" t="s">
        <v>978</v>
      </c>
      <c r="D16" s="41" t="s">
        <v>979</v>
      </c>
      <c r="E16" s="41" t="s">
        <v>980</v>
      </c>
      <c r="F16" s="44" t="s">
        <v>72</v>
      </c>
      <c r="G16" s="40" t="s">
        <v>62</v>
      </c>
      <c r="H16" s="40" t="s">
        <v>56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981</v>
      </c>
      <c r="B17" s="36" t="s">
        <v>927</v>
      </c>
      <c r="C17" s="36" t="s">
        <v>982</v>
      </c>
      <c r="D17" s="36" t="s">
        <v>983</v>
      </c>
      <c r="E17" s="36" t="s">
        <v>984</v>
      </c>
      <c r="F17" s="45" t="s">
        <v>72</v>
      </c>
      <c r="G17" s="35" t="s">
        <v>62</v>
      </c>
      <c r="H17" s="35" t="s">
        <v>56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985</v>
      </c>
      <c r="B18" s="41" t="s">
        <v>953</v>
      </c>
      <c r="C18" s="41" t="s">
        <v>986</v>
      </c>
      <c r="D18" s="41" t="s">
        <v>987</v>
      </c>
      <c r="E18" s="41" t="s">
        <v>988</v>
      </c>
      <c r="F18" s="44" t="s">
        <v>72</v>
      </c>
      <c r="G18" s="40" t="s">
        <v>62</v>
      </c>
      <c r="H18" s="40" t="s">
        <v>63</v>
      </c>
      <c r="I18" s="40" t="s">
        <v>9</v>
      </c>
      <c r="J18" s="43" t="s">
        <v>57</v>
      </c>
      <c r="K18" s="40" t="s">
        <v>57</v>
      </c>
      <c r="L18" s="41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18"/>
  <mergeCells count="2">
    <mergeCell ref="A1:L1"/>
    <mergeCell ref="A2:L2"/>
  </mergeCells>
  <conditionalFormatting sqref="I5:I18">
    <cfRule type="cellIs" dxfId="0" priority="1" operator="equal">
      <formula>"Pass"</formula>
    </cfRule>
  </conditionalFormatting>
  <conditionalFormatting sqref="I5:I18">
    <cfRule type="cellIs" dxfId="1" priority="2" operator="equal">
      <formula>"Fail"</formula>
    </cfRule>
  </conditionalFormatting>
  <conditionalFormatting sqref="I5:I18">
    <cfRule type="cellIs" dxfId="2" priority="3" operator="equal">
      <formula>"Blocked"</formula>
    </cfRule>
  </conditionalFormatting>
  <dataValidations>
    <dataValidation type="list" allowBlank="1" sqref="F5:F18">
      <formula1>"P1,P2,P3"</formula1>
    </dataValidation>
    <dataValidation type="list" allowBlank="1" sqref="H5:H18">
      <formula1>"Playwright,Manual,API"</formula1>
    </dataValidation>
    <dataValidation type="list" allowBlank="1" sqref="G5:G18">
      <formula1>"Smoke,Regression,Edge,Negative"</formula1>
    </dataValidation>
    <dataValidation type="list" allowBlank="1" sqref="I5:I18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64" t="s">
        <v>989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990</v>
      </c>
    </row>
    <row r="4" ht="19.5" customHeight="1">
      <c r="A4" s="65" t="s">
        <v>38</v>
      </c>
      <c r="B4" s="65" t="s">
        <v>39</v>
      </c>
      <c r="C4" s="65" t="s">
        <v>40</v>
      </c>
      <c r="D4" s="65" t="s">
        <v>41</v>
      </c>
      <c r="E4" s="65" t="s">
        <v>42</v>
      </c>
      <c r="F4" s="65" t="s">
        <v>43</v>
      </c>
      <c r="G4" s="65" t="s">
        <v>44</v>
      </c>
      <c r="H4" s="65" t="s">
        <v>45</v>
      </c>
      <c r="I4" s="65" t="s">
        <v>46</v>
      </c>
      <c r="J4" s="65" t="s">
        <v>47</v>
      </c>
      <c r="K4" s="65" t="s">
        <v>48</v>
      </c>
      <c r="L4" s="65" t="s">
        <v>49</v>
      </c>
    </row>
    <row r="5">
      <c r="A5" s="35" t="s">
        <v>991</v>
      </c>
      <c r="B5" s="36" t="s">
        <v>770</v>
      </c>
      <c r="C5" s="36" t="s">
        <v>992</v>
      </c>
      <c r="D5" s="36" t="s">
        <v>993</v>
      </c>
      <c r="E5" s="36" t="s">
        <v>994</v>
      </c>
      <c r="F5" s="37" t="s">
        <v>5</v>
      </c>
      <c r="G5" s="35" t="s">
        <v>55</v>
      </c>
      <c r="H5" s="35" t="s">
        <v>63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995</v>
      </c>
      <c r="B6" s="41" t="s">
        <v>770</v>
      </c>
      <c r="C6" s="41" t="s">
        <v>996</v>
      </c>
      <c r="D6" s="41" t="s">
        <v>506</v>
      </c>
      <c r="E6" s="41" t="s">
        <v>997</v>
      </c>
      <c r="F6" s="42" t="s">
        <v>5</v>
      </c>
      <c r="G6" s="40" t="s">
        <v>62</v>
      </c>
      <c r="H6" s="40" t="s">
        <v>63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998</v>
      </c>
      <c r="B7" s="36" t="s">
        <v>770</v>
      </c>
      <c r="C7" s="36" t="s">
        <v>999</v>
      </c>
      <c r="D7" s="36" t="s">
        <v>1000</v>
      </c>
      <c r="E7" s="36" t="s">
        <v>1001</v>
      </c>
      <c r="F7" s="37" t="s">
        <v>5</v>
      </c>
      <c r="G7" s="35" t="s">
        <v>62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1002</v>
      </c>
      <c r="B8" s="41" t="s">
        <v>770</v>
      </c>
      <c r="C8" s="41" t="s">
        <v>1003</v>
      </c>
      <c r="D8" s="41" t="s">
        <v>1004</v>
      </c>
      <c r="E8" s="41" t="s">
        <v>1005</v>
      </c>
      <c r="F8" s="44" t="s">
        <v>72</v>
      </c>
      <c r="G8" s="40" t="s">
        <v>324</v>
      </c>
      <c r="H8" s="40" t="s">
        <v>63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1006</v>
      </c>
      <c r="B9" s="36" t="s">
        <v>770</v>
      </c>
      <c r="C9" s="36" t="s">
        <v>1007</v>
      </c>
      <c r="D9" s="36" t="s">
        <v>1008</v>
      </c>
      <c r="E9" s="36" t="s">
        <v>1009</v>
      </c>
      <c r="F9" s="45" t="s">
        <v>72</v>
      </c>
      <c r="G9" s="35" t="s">
        <v>62</v>
      </c>
      <c r="H9" s="35" t="s">
        <v>63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1010</v>
      </c>
      <c r="B10" s="41" t="s">
        <v>1011</v>
      </c>
      <c r="C10" s="41" t="s">
        <v>1012</v>
      </c>
      <c r="D10" s="41" t="s">
        <v>1013</v>
      </c>
      <c r="E10" s="41" t="s">
        <v>1014</v>
      </c>
      <c r="F10" s="42" t="s">
        <v>5</v>
      </c>
      <c r="G10" s="40" t="s">
        <v>55</v>
      </c>
      <c r="H10" s="40" t="s">
        <v>63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1015</v>
      </c>
      <c r="B11" s="36" t="s">
        <v>1011</v>
      </c>
      <c r="C11" s="36" t="s">
        <v>1016</v>
      </c>
      <c r="D11" s="36" t="s">
        <v>1017</v>
      </c>
      <c r="E11" s="36" t="s">
        <v>1018</v>
      </c>
      <c r="F11" s="37" t="s">
        <v>5</v>
      </c>
      <c r="G11" s="35" t="s">
        <v>62</v>
      </c>
      <c r="H11" s="35" t="s">
        <v>63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1019</v>
      </c>
      <c r="B12" s="41" t="s">
        <v>1011</v>
      </c>
      <c r="C12" s="41" t="s">
        <v>1020</v>
      </c>
      <c r="D12" s="41" t="s">
        <v>1021</v>
      </c>
      <c r="E12" s="41" t="s">
        <v>1022</v>
      </c>
      <c r="F12" s="42" t="s">
        <v>5</v>
      </c>
      <c r="G12" s="40" t="s">
        <v>62</v>
      </c>
      <c r="H12" s="40" t="s">
        <v>56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1023</v>
      </c>
      <c r="B13" s="36" t="s">
        <v>1011</v>
      </c>
      <c r="C13" s="36" t="s">
        <v>1024</v>
      </c>
      <c r="D13" s="36" t="s">
        <v>1025</v>
      </c>
      <c r="E13" s="36" t="s">
        <v>1026</v>
      </c>
      <c r="F13" s="45" t="s">
        <v>72</v>
      </c>
      <c r="G13" s="35" t="s">
        <v>62</v>
      </c>
      <c r="H13" s="35" t="s">
        <v>56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1027</v>
      </c>
      <c r="B14" s="41" t="s">
        <v>1011</v>
      </c>
      <c r="C14" s="41" t="s">
        <v>1028</v>
      </c>
      <c r="D14" s="41" t="s">
        <v>1029</v>
      </c>
      <c r="E14" s="41" t="s">
        <v>1030</v>
      </c>
      <c r="F14" s="44" t="s">
        <v>72</v>
      </c>
      <c r="G14" s="40" t="s">
        <v>62</v>
      </c>
      <c r="H14" s="40" t="s">
        <v>56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1031</v>
      </c>
      <c r="B15" s="36" t="s">
        <v>1011</v>
      </c>
      <c r="C15" s="36" t="s">
        <v>1032</v>
      </c>
      <c r="D15" s="36" t="s">
        <v>1033</v>
      </c>
      <c r="E15" s="36" t="s">
        <v>1034</v>
      </c>
      <c r="F15" s="45" t="s">
        <v>72</v>
      </c>
      <c r="G15" s="35" t="s">
        <v>62</v>
      </c>
      <c r="H15" s="35" t="s">
        <v>56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1035</v>
      </c>
      <c r="B16" s="41" t="s">
        <v>1011</v>
      </c>
      <c r="C16" s="41" t="s">
        <v>1036</v>
      </c>
      <c r="D16" s="41" t="s">
        <v>1037</v>
      </c>
      <c r="E16" s="41" t="s">
        <v>1038</v>
      </c>
      <c r="F16" s="42" t="s">
        <v>5</v>
      </c>
      <c r="G16" s="40" t="s">
        <v>62</v>
      </c>
      <c r="H16" s="40" t="s">
        <v>56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1039</v>
      </c>
      <c r="B17" s="36" t="s">
        <v>1040</v>
      </c>
      <c r="C17" s="36" t="s">
        <v>1041</v>
      </c>
      <c r="D17" s="36" t="s">
        <v>1042</v>
      </c>
      <c r="E17" s="36" t="s">
        <v>1043</v>
      </c>
      <c r="F17" s="45" t="s">
        <v>72</v>
      </c>
      <c r="G17" s="35" t="s">
        <v>62</v>
      </c>
      <c r="H17" s="35" t="s">
        <v>63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1044</v>
      </c>
      <c r="B18" s="41" t="s">
        <v>1045</v>
      </c>
      <c r="C18" s="41" t="s">
        <v>1046</v>
      </c>
      <c r="D18" s="41" t="s">
        <v>1047</v>
      </c>
      <c r="E18" s="41" t="s">
        <v>1048</v>
      </c>
      <c r="F18" s="42" t="s">
        <v>5</v>
      </c>
      <c r="G18" s="40" t="s">
        <v>62</v>
      </c>
      <c r="H18" s="40" t="s">
        <v>56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>
      <c r="A19" s="35" t="s">
        <v>1049</v>
      </c>
      <c r="B19" s="36" t="s">
        <v>275</v>
      </c>
      <c r="C19" s="36" t="s">
        <v>1050</v>
      </c>
      <c r="D19" s="36" t="s">
        <v>1051</v>
      </c>
      <c r="E19" s="36" t="s">
        <v>1052</v>
      </c>
      <c r="F19" s="37" t="s">
        <v>5</v>
      </c>
      <c r="G19" s="35" t="s">
        <v>62</v>
      </c>
      <c r="H19" s="35" t="s">
        <v>56</v>
      </c>
      <c r="I19" s="35" t="s">
        <v>9</v>
      </c>
      <c r="J19" s="39" t="s">
        <v>57</v>
      </c>
      <c r="K19" s="35" t="s">
        <v>57</v>
      </c>
      <c r="L19" s="36" t="s">
        <v>57</v>
      </c>
    </row>
    <row r="20">
      <c r="A20" s="40" t="s">
        <v>1053</v>
      </c>
      <c r="B20" s="41" t="s">
        <v>1054</v>
      </c>
      <c r="C20" s="41" t="s">
        <v>1055</v>
      </c>
      <c r="D20" s="41" t="s">
        <v>1056</v>
      </c>
      <c r="E20" s="41" t="s">
        <v>1057</v>
      </c>
      <c r="F20" s="42" t="s">
        <v>5</v>
      </c>
      <c r="G20" s="40" t="s">
        <v>62</v>
      </c>
      <c r="H20" s="40" t="s">
        <v>56</v>
      </c>
      <c r="I20" s="40" t="s">
        <v>9</v>
      </c>
      <c r="J20" s="43" t="s">
        <v>57</v>
      </c>
      <c r="K20" s="40" t="s">
        <v>57</v>
      </c>
      <c r="L20" s="41" t="s">
        <v>57</v>
      </c>
    </row>
    <row r="21" ht="15.75" customHeight="1">
      <c r="A21" s="35" t="s">
        <v>1058</v>
      </c>
      <c r="B21" s="36" t="s">
        <v>1059</v>
      </c>
      <c r="C21" s="36" t="s">
        <v>1060</v>
      </c>
      <c r="D21" s="36" t="s">
        <v>1061</v>
      </c>
      <c r="E21" s="36" t="s">
        <v>1062</v>
      </c>
      <c r="F21" s="37" t="s">
        <v>5</v>
      </c>
      <c r="G21" s="35" t="s">
        <v>62</v>
      </c>
      <c r="H21" s="35" t="s">
        <v>56</v>
      </c>
      <c r="I21" s="35" t="s">
        <v>9</v>
      </c>
      <c r="J21" s="39" t="s">
        <v>57</v>
      </c>
      <c r="K21" s="35" t="s">
        <v>57</v>
      </c>
      <c r="L21" s="36" t="s">
        <v>57</v>
      </c>
    </row>
    <row r="22" ht="15.75" customHeight="1">
      <c r="A22" s="40" t="s">
        <v>1063</v>
      </c>
      <c r="B22" s="41" t="s">
        <v>1045</v>
      </c>
      <c r="C22" s="41" t="s">
        <v>1064</v>
      </c>
      <c r="D22" s="41" t="s">
        <v>1065</v>
      </c>
      <c r="E22" s="41" t="s">
        <v>1066</v>
      </c>
      <c r="F22" s="42" t="s">
        <v>5</v>
      </c>
      <c r="G22" s="40" t="s">
        <v>62</v>
      </c>
      <c r="H22" s="40" t="s">
        <v>63</v>
      </c>
      <c r="I22" s="40" t="s">
        <v>9</v>
      </c>
      <c r="J22" s="43" t="s">
        <v>57</v>
      </c>
      <c r="K22" s="40" t="s">
        <v>57</v>
      </c>
      <c r="L22" s="41" t="s">
        <v>57</v>
      </c>
    </row>
    <row r="23" ht="15.75" customHeight="1">
      <c r="A23" s="35" t="s">
        <v>1067</v>
      </c>
      <c r="B23" s="36" t="s">
        <v>1068</v>
      </c>
      <c r="C23" s="36" t="s">
        <v>1069</v>
      </c>
      <c r="D23" s="36" t="s">
        <v>1070</v>
      </c>
      <c r="E23" s="36" t="s">
        <v>1071</v>
      </c>
      <c r="F23" s="45" t="s">
        <v>72</v>
      </c>
      <c r="G23" s="35" t="s">
        <v>62</v>
      </c>
      <c r="H23" s="35" t="s">
        <v>56</v>
      </c>
      <c r="I23" s="35" t="s">
        <v>9</v>
      </c>
      <c r="J23" s="39" t="s">
        <v>57</v>
      </c>
      <c r="K23" s="35" t="s">
        <v>57</v>
      </c>
      <c r="L23" s="36" t="s">
        <v>57</v>
      </c>
    </row>
    <row r="24" ht="15.75" customHeight="1">
      <c r="A24" s="40" t="s">
        <v>1072</v>
      </c>
      <c r="B24" s="41" t="s">
        <v>1073</v>
      </c>
      <c r="C24" s="41" t="s">
        <v>1074</v>
      </c>
      <c r="D24" s="41" t="s">
        <v>1075</v>
      </c>
      <c r="E24" s="41" t="s">
        <v>1076</v>
      </c>
      <c r="F24" s="46" t="s">
        <v>99</v>
      </c>
      <c r="G24" s="40" t="s">
        <v>62</v>
      </c>
      <c r="H24" s="40" t="s">
        <v>56</v>
      </c>
      <c r="I24" s="40" t="s">
        <v>9</v>
      </c>
      <c r="J24" s="43" t="s">
        <v>57</v>
      </c>
      <c r="K24" s="40" t="s">
        <v>57</v>
      </c>
      <c r="L24" s="41" t="s">
        <v>57</v>
      </c>
    </row>
    <row r="25" ht="15.75" customHeight="1">
      <c r="A25" s="35" t="s">
        <v>1077</v>
      </c>
      <c r="B25" s="36" t="s">
        <v>275</v>
      </c>
      <c r="C25" s="36" t="s">
        <v>1078</v>
      </c>
      <c r="D25" s="36" t="s">
        <v>1079</v>
      </c>
      <c r="E25" s="36" t="s">
        <v>1080</v>
      </c>
      <c r="F25" s="45" t="s">
        <v>72</v>
      </c>
      <c r="G25" s="35" t="s">
        <v>62</v>
      </c>
      <c r="H25" s="35" t="s">
        <v>56</v>
      </c>
      <c r="I25" s="35" t="s">
        <v>9</v>
      </c>
      <c r="J25" s="39" t="s">
        <v>57</v>
      </c>
      <c r="K25" s="35" t="s">
        <v>57</v>
      </c>
      <c r="L25" s="36" t="s">
        <v>57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25"/>
  <mergeCells count="2">
    <mergeCell ref="A1:L1"/>
    <mergeCell ref="A2:L2"/>
  </mergeCells>
  <conditionalFormatting sqref="I5:I25">
    <cfRule type="cellIs" dxfId="0" priority="1" operator="equal">
      <formula>"Pass"</formula>
    </cfRule>
  </conditionalFormatting>
  <conditionalFormatting sqref="I5:I25">
    <cfRule type="cellIs" dxfId="1" priority="2" operator="equal">
      <formula>"Fail"</formula>
    </cfRule>
  </conditionalFormatting>
  <conditionalFormatting sqref="I5:I25">
    <cfRule type="cellIs" dxfId="2" priority="3" operator="equal">
      <formula>"Blocked"</formula>
    </cfRule>
  </conditionalFormatting>
  <dataValidations>
    <dataValidation type="list" allowBlank="1" sqref="F5:F25">
      <formula1>"P1,P2,P3"</formula1>
    </dataValidation>
    <dataValidation type="list" allowBlank="1" sqref="H5:H25">
      <formula1>"Playwright,Manual,API"</formula1>
    </dataValidation>
    <dataValidation type="list" allowBlank="1" sqref="G5:G25">
      <formula1>"Smoke,Regression,Edge,Negative"</formula1>
    </dataValidation>
    <dataValidation type="list" allowBlank="1" sqref="I5:I25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66" t="s">
        <v>1081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1082</v>
      </c>
    </row>
    <row r="4" ht="19.5" customHeight="1">
      <c r="A4" s="67" t="s">
        <v>38</v>
      </c>
      <c r="B4" s="67" t="s">
        <v>39</v>
      </c>
      <c r="C4" s="67" t="s">
        <v>40</v>
      </c>
      <c r="D4" s="67" t="s">
        <v>41</v>
      </c>
      <c r="E4" s="67" t="s">
        <v>42</v>
      </c>
      <c r="F4" s="67" t="s">
        <v>43</v>
      </c>
      <c r="G4" s="67" t="s">
        <v>44</v>
      </c>
      <c r="H4" s="67" t="s">
        <v>45</v>
      </c>
      <c r="I4" s="67" t="s">
        <v>46</v>
      </c>
      <c r="J4" s="67" t="s">
        <v>47</v>
      </c>
      <c r="K4" s="67" t="s">
        <v>48</v>
      </c>
      <c r="L4" s="67" t="s">
        <v>49</v>
      </c>
    </row>
    <row r="5">
      <c r="A5" s="35" t="s">
        <v>1083</v>
      </c>
      <c r="B5" s="36" t="s">
        <v>1084</v>
      </c>
      <c r="C5" s="36" t="s">
        <v>1085</v>
      </c>
      <c r="D5" s="36" t="s">
        <v>1086</v>
      </c>
      <c r="E5" s="36" t="s">
        <v>1087</v>
      </c>
      <c r="F5" s="37" t="s">
        <v>5</v>
      </c>
      <c r="G5" s="35" t="s">
        <v>55</v>
      </c>
      <c r="H5" s="35" t="s">
        <v>63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1088</v>
      </c>
      <c r="B6" s="41" t="s">
        <v>1084</v>
      </c>
      <c r="C6" s="41" t="s">
        <v>1089</v>
      </c>
      <c r="D6" s="41" t="s">
        <v>1090</v>
      </c>
      <c r="E6" s="41" t="s">
        <v>1091</v>
      </c>
      <c r="F6" s="42" t="s">
        <v>5</v>
      </c>
      <c r="G6" s="40" t="s">
        <v>62</v>
      </c>
      <c r="H6" s="40" t="s">
        <v>56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1092</v>
      </c>
      <c r="B7" s="36" t="s">
        <v>1084</v>
      </c>
      <c r="C7" s="36" t="s">
        <v>1093</v>
      </c>
      <c r="D7" s="36" t="s">
        <v>1094</v>
      </c>
      <c r="E7" s="36" t="s">
        <v>1095</v>
      </c>
      <c r="F7" s="37" t="s">
        <v>5</v>
      </c>
      <c r="G7" s="35" t="s">
        <v>62</v>
      </c>
      <c r="H7" s="35" t="s">
        <v>56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1096</v>
      </c>
      <c r="B8" s="41" t="s">
        <v>1084</v>
      </c>
      <c r="C8" s="41" t="s">
        <v>1097</v>
      </c>
      <c r="D8" s="41" t="s">
        <v>1098</v>
      </c>
      <c r="E8" s="41" t="s">
        <v>1099</v>
      </c>
      <c r="F8" s="44" t="s">
        <v>72</v>
      </c>
      <c r="G8" s="40" t="s">
        <v>62</v>
      </c>
      <c r="H8" s="40" t="s">
        <v>63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1100</v>
      </c>
      <c r="B9" s="36" t="s">
        <v>1084</v>
      </c>
      <c r="C9" s="36" t="s">
        <v>1101</v>
      </c>
      <c r="D9" s="36" t="s">
        <v>1102</v>
      </c>
      <c r="E9" s="36" t="s">
        <v>1103</v>
      </c>
      <c r="F9" s="45" t="s">
        <v>72</v>
      </c>
      <c r="G9" s="35" t="s">
        <v>324</v>
      </c>
      <c r="H9" s="35" t="s">
        <v>56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1104</v>
      </c>
      <c r="B10" s="41" t="s">
        <v>1084</v>
      </c>
      <c r="C10" s="41" t="s">
        <v>1105</v>
      </c>
      <c r="D10" s="41" t="s">
        <v>1106</v>
      </c>
      <c r="E10" s="41" t="s">
        <v>1107</v>
      </c>
      <c r="F10" s="46" t="s">
        <v>99</v>
      </c>
      <c r="G10" s="40" t="s">
        <v>62</v>
      </c>
      <c r="H10" s="40" t="s">
        <v>63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1108</v>
      </c>
      <c r="B11" s="36" t="s">
        <v>1109</v>
      </c>
      <c r="C11" s="36" t="s">
        <v>1110</v>
      </c>
      <c r="D11" s="36" t="s">
        <v>1111</v>
      </c>
      <c r="E11" s="36" t="s">
        <v>1112</v>
      </c>
      <c r="F11" s="45" t="s">
        <v>72</v>
      </c>
      <c r="G11" s="35" t="s">
        <v>62</v>
      </c>
      <c r="H11" s="35" t="s">
        <v>56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1113</v>
      </c>
      <c r="B12" s="41" t="s">
        <v>1114</v>
      </c>
      <c r="C12" s="41" t="s">
        <v>1115</v>
      </c>
      <c r="D12" s="41" t="s">
        <v>1116</v>
      </c>
      <c r="E12" s="41" t="s">
        <v>1117</v>
      </c>
      <c r="F12" s="42" t="s">
        <v>5</v>
      </c>
      <c r="G12" s="40" t="s">
        <v>62</v>
      </c>
      <c r="H12" s="40" t="s">
        <v>56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1118</v>
      </c>
      <c r="B13" s="36" t="s">
        <v>1119</v>
      </c>
      <c r="C13" s="36" t="s">
        <v>1120</v>
      </c>
      <c r="D13" s="36" t="s">
        <v>1121</v>
      </c>
      <c r="E13" s="36" t="s">
        <v>1122</v>
      </c>
      <c r="F13" s="47" t="s">
        <v>99</v>
      </c>
      <c r="G13" s="35" t="s">
        <v>73</v>
      </c>
      <c r="H13" s="35" t="s">
        <v>56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1123</v>
      </c>
      <c r="B14" s="41" t="s">
        <v>1124</v>
      </c>
      <c r="C14" s="41" t="s">
        <v>1125</v>
      </c>
      <c r="D14" s="41" t="s">
        <v>1126</v>
      </c>
      <c r="E14" s="41" t="s">
        <v>1127</v>
      </c>
      <c r="F14" s="44" t="s">
        <v>72</v>
      </c>
      <c r="G14" s="40" t="s">
        <v>73</v>
      </c>
      <c r="H14" s="40" t="s">
        <v>591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1128</v>
      </c>
      <c r="B15" s="36" t="s">
        <v>1129</v>
      </c>
      <c r="C15" s="36" t="s">
        <v>1130</v>
      </c>
      <c r="D15" s="36" t="s">
        <v>1131</v>
      </c>
      <c r="E15" s="36" t="s">
        <v>1132</v>
      </c>
      <c r="F15" s="45" t="s">
        <v>72</v>
      </c>
      <c r="G15" s="35" t="s">
        <v>62</v>
      </c>
      <c r="H15" s="35" t="s">
        <v>56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1133</v>
      </c>
      <c r="B16" s="41" t="s">
        <v>1134</v>
      </c>
      <c r="C16" s="41" t="s">
        <v>1135</v>
      </c>
      <c r="D16" s="41" t="s">
        <v>1136</v>
      </c>
      <c r="E16" s="41" t="s">
        <v>1137</v>
      </c>
      <c r="F16" s="46" t="s">
        <v>99</v>
      </c>
      <c r="G16" s="40" t="s">
        <v>62</v>
      </c>
      <c r="H16" s="40" t="s">
        <v>56</v>
      </c>
      <c r="I16" s="40" t="s">
        <v>9</v>
      </c>
      <c r="J16" s="43" t="s">
        <v>57</v>
      </c>
      <c r="K16" s="40" t="s">
        <v>57</v>
      </c>
      <c r="L16" s="41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16"/>
  <mergeCells count="2">
    <mergeCell ref="A1:L1"/>
    <mergeCell ref="A2:L2"/>
  </mergeCells>
  <conditionalFormatting sqref="I5:I16">
    <cfRule type="cellIs" dxfId="0" priority="1" operator="equal">
      <formula>"Pass"</formula>
    </cfRule>
  </conditionalFormatting>
  <conditionalFormatting sqref="I5:I16">
    <cfRule type="cellIs" dxfId="1" priority="2" operator="equal">
      <formula>"Fail"</formula>
    </cfRule>
  </conditionalFormatting>
  <conditionalFormatting sqref="I5:I16">
    <cfRule type="cellIs" dxfId="2" priority="3" operator="equal">
      <formula>"Blocked"</formula>
    </cfRule>
  </conditionalFormatting>
  <dataValidations>
    <dataValidation type="list" allowBlank="1" sqref="F5:F16">
      <formula1>"P1,P2,P3"</formula1>
    </dataValidation>
    <dataValidation type="list" allowBlank="1" sqref="H5:H16">
      <formula1>"Playwright,Manual,API"</formula1>
    </dataValidation>
    <dataValidation type="list" allowBlank="1" sqref="G5:G16">
      <formula1>"Smoke,Regression,Edge,Negative"</formula1>
    </dataValidation>
    <dataValidation type="list" allowBlank="1" sqref="I5:I16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68" t="s">
        <v>1138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1139</v>
      </c>
    </row>
    <row r="4" ht="19.5" customHeight="1">
      <c r="A4" s="69" t="s">
        <v>38</v>
      </c>
      <c r="B4" s="69" t="s">
        <v>39</v>
      </c>
      <c r="C4" s="69" t="s">
        <v>40</v>
      </c>
      <c r="D4" s="69" t="s">
        <v>41</v>
      </c>
      <c r="E4" s="69" t="s">
        <v>42</v>
      </c>
      <c r="F4" s="69" t="s">
        <v>43</v>
      </c>
      <c r="G4" s="69" t="s">
        <v>44</v>
      </c>
      <c r="H4" s="69" t="s">
        <v>45</v>
      </c>
      <c r="I4" s="69" t="s">
        <v>46</v>
      </c>
      <c r="J4" s="69" t="s">
        <v>47</v>
      </c>
      <c r="K4" s="69" t="s">
        <v>48</v>
      </c>
      <c r="L4" s="69" t="s">
        <v>49</v>
      </c>
    </row>
    <row r="5">
      <c r="A5" s="35" t="s">
        <v>1140</v>
      </c>
      <c r="B5" s="36" t="s">
        <v>1141</v>
      </c>
      <c r="C5" s="36" t="s">
        <v>1142</v>
      </c>
      <c r="D5" s="36" t="s">
        <v>1143</v>
      </c>
      <c r="E5" s="36" t="s">
        <v>1144</v>
      </c>
      <c r="F5" s="37" t="s">
        <v>5</v>
      </c>
      <c r="G5" s="35" t="s">
        <v>62</v>
      </c>
      <c r="H5" s="35" t="s">
        <v>63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1145</v>
      </c>
      <c r="B6" s="41" t="s">
        <v>1141</v>
      </c>
      <c r="C6" s="41" t="s">
        <v>1146</v>
      </c>
      <c r="D6" s="41" t="s">
        <v>1147</v>
      </c>
      <c r="E6" s="41" t="s">
        <v>1148</v>
      </c>
      <c r="F6" s="42" t="s">
        <v>5</v>
      </c>
      <c r="G6" s="40" t="s">
        <v>62</v>
      </c>
      <c r="H6" s="40" t="s">
        <v>56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1149</v>
      </c>
      <c r="B7" s="36" t="s">
        <v>1150</v>
      </c>
      <c r="C7" s="36" t="s">
        <v>1151</v>
      </c>
      <c r="D7" s="36" t="s">
        <v>1152</v>
      </c>
      <c r="E7" s="36" t="s">
        <v>1153</v>
      </c>
      <c r="F7" s="37" t="s">
        <v>5</v>
      </c>
      <c r="G7" s="35" t="s">
        <v>55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1154</v>
      </c>
      <c r="B8" s="41" t="s">
        <v>1150</v>
      </c>
      <c r="C8" s="41" t="s">
        <v>1155</v>
      </c>
      <c r="D8" s="41" t="s">
        <v>1156</v>
      </c>
      <c r="E8" s="41" t="s">
        <v>1157</v>
      </c>
      <c r="F8" s="42" t="s">
        <v>5</v>
      </c>
      <c r="G8" s="40" t="s">
        <v>62</v>
      </c>
      <c r="H8" s="40" t="s">
        <v>56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1158</v>
      </c>
      <c r="B9" s="36" t="s">
        <v>1150</v>
      </c>
      <c r="C9" s="36" t="s">
        <v>1159</v>
      </c>
      <c r="D9" s="36" t="s">
        <v>1160</v>
      </c>
      <c r="E9" s="36" t="s">
        <v>1161</v>
      </c>
      <c r="F9" s="45" t="s">
        <v>72</v>
      </c>
      <c r="G9" s="35" t="s">
        <v>62</v>
      </c>
      <c r="H9" s="35" t="s">
        <v>56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1162</v>
      </c>
      <c r="B10" s="41" t="s">
        <v>1150</v>
      </c>
      <c r="C10" s="41" t="s">
        <v>1163</v>
      </c>
      <c r="D10" s="41" t="s">
        <v>1164</v>
      </c>
      <c r="E10" s="41" t="s">
        <v>1165</v>
      </c>
      <c r="F10" s="44" t="s">
        <v>72</v>
      </c>
      <c r="G10" s="40" t="s">
        <v>62</v>
      </c>
      <c r="H10" s="40" t="s">
        <v>56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1166</v>
      </c>
      <c r="B11" s="36" t="s">
        <v>1150</v>
      </c>
      <c r="C11" s="36" t="s">
        <v>1167</v>
      </c>
      <c r="D11" s="36" t="s">
        <v>1168</v>
      </c>
      <c r="E11" s="36" t="s">
        <v>1169</v>
      </c>
      <c r="F11" s="37" t="s">
        <v>5</v>
      </c>
      <c r="G11" s="35" t="s">
        <v>62</v>
      </c>
      <c r="H11" s="35" t="s">
        <v>56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1170</v>
      </c>
      <c r="B12" s="41" t="s">
        <v>1150</v>
      </c>
      <c r="C12" s="41" t="s">
        <v>1171</v>
      </c>
      <c r="D12" s="41" t="s">
        <v>1172</v>
      </c>
      <c r="E12" s="41" t="s">
        <v>1173</v>
      </c>
      <c r="F12" s="44" t="s">
        <v>72</v>
      </c>
      <c r="G12" s="40" t="s">
        <v>62</v>
      </c>
      <c r="H12" s="40" t="s">
        <v>56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1174</v>
      </c>
      <c r="B13" s="36" t="s">
        <v>1175</v>
      </c>
      <c r="C13" s="36" t="s">
        <v>1176</v>
      </c>
      <c r="D13" s="36" t="s">
        <v>1177</v>
      </c>
      <c r="E13" s="36" t="s">
        <v>1178</v>
      </c>
      <c r="F13" s="37" t="s">
        <v>5</v>
      </c>
      <c r="G13" s="35" t="s">
        <v>62</v>
      </c>
      <c r="H13" s="35" t="s">
        <v>56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1179</v>
      </c>
      <c r="B14" s="41" t="s">
        <v>1175</v>
      </c>
      <c r="C14" s="41" t="s">
        <v>1180</v>
      </c>
      <c r="D14" s="41" t="s">
        <v>1181</v>
      </c>
      <c r="E14" s="41" t="s">
        <v>1182</v>
      </c>
      <c r="F14" s="42" t="s">
        <v>5</v>
      </c>
      <c r="G14" s="40" t="s">
        <v>62</v>
      </c>
      <c r="H14" s="40" t="s">
        <v>56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1183</v>
      </c>
      <c r="B15" s="36" t="s">
        <v>1184</v>
      </c>
      <c r="C15" s="36" t="s">
        <v>1185</v>
      </c>
      <c r="D15" s="36" t="s">
        <v>1186</v>
      </c>
      <c r="E15" s="36" t="s">
        <v>1187</v>
      </c>
      <c r="F15" s="37" t="s">
        <v>5</v>
      </c>
      <c r="G15" s="35" t="s">
        <v>55</v>
      </c>
      <c r="H15" s="35" t="s">
        <v>63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1188</v>
      </c>
      <c r="B16" s="41" t="s">
        <v>1184</v>
      </c>
      <c r="C16" s="41" t="s">
        <v>1189</v>
      </c>
      <c r="D16" s="41" t="s">
        <v>1190</v>
      </c>
      <c r="E16" s="41" t="s">
        <v>1191</v>
      </c>
      <c r="F16" s="42" t="s">
        <v>5</v>
      </c>
      <c r="G16" s="40" t="s">
        <v>62</v>
      </c>
      <c r="H16" s="40" t="s">
        <v>56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1192</v>
      </c>
      <c r="B17" s="36" t="s">
        <v>1184</v>
      </c>
      <c r="C17" s="36" t="s">
        <v>1193</v>
      </c>
      <c r="D17" s="36" t="s">
        <v>1194</v>
      </c>
      <c r="E17" s="36" t="s">
        <v>1195</v>
      </c>
      <c r="F17" s="37" t="s">
        <v>5</v>
      </c>
      <c r="G17" s="35" t="s">
        <v>62</v>
      </c>
      <c r="H17" s="35" t="s">
        <v>56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1196</v>
      </c>
      <c r="B18" s="41" t="s">
        <v>1184</v>
      </c>
      <c r="C18" s="41" t="s">
        <v>1197</v>
      </c>
      <c r="D18" s="41" t="s">
        <v>1198</v>
      </c>
      <c r="E18" s="41" t="s">
        <v>1199</v>
      </c>
      <c r="F18" s="42" t="s">
        <v>5</v>
      </c>
      <c r="G18" s="40" t="s">
        <v>62</v>
      </c>
      <c r="H18" s="40" t="s">
        <v>56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>
      <c r="A19" s="35" t="s">
        <v>1200</v>
      </c>
      <c r="B19" s="36" t="s">
        <v>1184</v>
      </c>
      <c r="C19" s="36" t="s">
        <v>1201</v>
      </c>
      <c r="D19" s="36" t="s">
        <v>1202</v>
      </c>
      <c r="E19" s="36" t="s">
        <v>1203</v>
      </c>
      <c r="F19" s="45" t="s">
        <v>72</v>
      </c>
      <c r="G19" s="35" t="s">
        <v>62</v>
      </c>
      <c r="H19" s="35" t="s">
        <v>56</v>
      </c>
      <c r="I19" s="35" t="s">
        <v>9</v>
      </c>
      <c r="J19" s="39" t="s">
        <v>57</v>
      </c>
      <c r="K19" s="35" t="s">
        <v>57</v>
      </c>
      <c r="L19" s="36" t="s">
        <v>57</v>
      </c>
    </row>
    <row r="20">
      <c r="A20" s="40" t="s">
        <v>1204</v>
      </c>
      <c r="B20" s="41" t="s">
        <v>1184</v>
      </c>
      <c r="C20" s="41" t="s">
        <v>1205</v>
      </c>
      <c r="D20" s="41" t="s">
        <v>1206</v>
      </c>
      <c r="E20" s="41" t="s">
        <v>1207</v>
      </c>
      <c r="F20" s="44" t="s">
        <v>72</v>
      </c>
      <c r="G20" s="40" t="s">
        <v>62</v>
      </c>
      <c r="H20" s="40" t="s">
        <v>56</v>
      </c>
      <c r="I20" s="40" t="s">
        <v>9</v>
      </c>
      <c r="J20" s="43" t="s">
        <v>57</v>
      </c>
      <c r="K20" s="40" t="s">
        <v>57</v>
      </c>
      <c r="L20" s="41" t="s">
        <v>57</v>
      </c>
    </row>
    <row r="21" ht="15.75" customHeight="1">
      <c r="A21" s="35" t="s">
        <v>1208</v>
      </c>
      <c r="B21" s="36" t="s">
        <v>1209</v>
      </c>
      <c r="C21" s="36" t="s">
        <v>1210</v>
      </c>
      <c r="D21" s="36" t="s">
        <v>1211</v>
      </c>
      <c r="E21" s="36" t="s">
        <v>1212</v>
      </c>
      <c r="F21" s="37" t="s">
        <v>5</v>
      </c>
      <c r="G21" s="35" t="s">
        <v>55</v>
      </c>
      <c r="H21" s="35" t="s">
        <v>63</v>
      </c>
      <c r="I21" s="35" t="s">
        <v>9</v>
      </c>
      <c r="J21" s="39" t="s">
        <v>57</v>
      </c>
      <c r="K21" s="35" t="s">
        <v>57</v>
      </c>
      <c r="L21" s="36" t="s">
        <v>57</v>
      </c>
    </row>
    <row r="22" ht="15.75" customHeight="1">
      <c r="A22" s="40" t="s">
        <v>1213</v>
      </c>
      <c r="B22" s="41" t="s">
        <v>1209</v>
      </c>
      <c r="C22" s="41" t="s">
        <v>1214</v>
      </c>
      <c r="D22" s="41" t="s">
        <v>1215</v>
      </c>
      <c r="E22" s="41" t="s">
        <v>1216</v>
      </c>
      <c r="F22" s="42" t="s">
        <v>5</v>
      </c>
      <c r="G22" s="40" t="s">
        <v>62</v>
      </c>
      <c r="H22" s="40" t="s">
        <v>56</v>
      </c>
      <c r="I22" s="40" t="s">
        <v>9</v>
      </c>
      <c r="J22" s="43" t="s">
        <v>57</v>
      </c>
      <c r="K22" s="40" t="s">
        <v>57</v>
      </c>
      <c r="L22" s="41" t="s">
        <v>57</v>
      </c>
    </row>
    <row r="23" ht="15.75" customHeight="1">
      <c r="A23" s="35" t="s">
        <v>1217</v>
      </c>
      <c r="B23" s="36" t="s">
        <v>1209</v>
      </c>
      <c r="C23" s="36" t="s">
        <v>1218</v>
      </c>
      <c r="D23" s="36" t="s">
        <v>1219</v>
      </c>
      <c r="E23" s="36" t="s">
        <v>1220</v>
      </c>
      <c r="F23" s="45" t="s">
        <v>72</v>
      </c>
      <c r="G23" s="35" t="s">
        <v>73</v>
      </c>
      <c r="H23" s="35" t="s">
        <v>56</v>
      </c>
      <c r="I23" s="35" t="s">
        <v>9</v>
      </c>
      <c r="J23" s="39" t="s">
        <v>57</v>
      </c>
      <c r="K23" s="35" t="s">
        <v>57</v>
      </c>
      <c r="L23" s="36" t="s">
        <v>57</v>
      </c>
    </row>
    <row r="24" ht="15.75" customHeight="1">
      <c r="A24" s="40" t="s">
        <v>1221</v>
      </c>
      <c r="B24" s="41" t="s">
        <v>1209</v>
      </c>
      <c r="C24" s="41" t="s">
        <v>1222</v>
      </c>
      <c r="D24" s="41" t="s">
        <v>1223</v>
      </c>
      <c r="E24" s="41" t="s">
        <v>1224</v>
      </c>
      <c r="F24" s="42" t="s">
        <v>5</v>
      </c>
      <c r="G24" s="40" t="s">
        <v>62</v>
      </c>
      <c r="H24" s="40" t="s">
        <v>56</v>
      </c>
      <c r="I24" s="40" t="s">
        <v>9</v>
      </c>
      <c r="J24" s="43" t="s">
        <v>57</v>
      </c>
      <c r="K24" s="40" t="s">
        <v>57</v>
      </c>
      <c r="L24" s="41" t="s">
        <v>57</v>
      </c>
    </row>
    <row r="25" ht="15.75" customHeight="1">
      <c r="A25" s="35" t="s">
        <v>1225</v>
      </c>
      <c r="B25" s="36" t="s">
        <v>1226</v>
      </c>
      <c r="C25" s="36" t="s">
        <v>1227</v>
      </c>
      <c r="D25" s="36" t="s">
        <v>1228</v>
      </c>
      <c r="E25" s="36" t="s">
        <v>1229</v>
      </c>
      <c r="F25" s="37" t="s">
        <v>5</v>
      </c>
      <c r="G25" s="35" t="s">
        <v>55</v>
      </c>
      <c r="H25" s="35" t="s">
        <v>63</v>
      </c>
      <c r="I25" s="35" t="s">
        <v>9</v>
      </c>
      <c r="J25" s="39" t="s">
        <v>57</v>
      </c>
      <c r="K25" s="35" t="s">
        <v>57</v>
      </c>
      <c r="L25" s="36" t="s">
        <v>57</v>
      </c>
    </row>
    <row r="26" ht="15.75" customHeight="1">
      <c r="A26" s="40" t="s">
        <v>1230</v>
      </c>
      <c r="B26" s="41" t="s">
        <v>1226</v>
      </c>
      <c r="C26" s="41" t="s">
        <v>1231</v>
      </c>
      <c r="D26" s="41" t="s">
        <v>1232</v>
      </c>
      <c r="E26" s="41" t="s">
        <v>1233</v>
      </c>
      <c r="F26" s="42" t="s">
        <v>5</v>
      </c>
      <c r="G26" s="40" t="s">
        <v>62</v>
      </c>
      <c r="H26" s="40" t="s">
        <v>56</v>
      </c>
      <c r="I26" s="40" t="s">
        <v>9</v>
      </c>
      <c r="J26" s="43" t="s">
        <v>57</v>
      </c>
      <c r="K26" s="40" t="s">
        <v>57</v>
      </c>
      <c r="L26" s="41" t="s">
        <v>57</v>
      </c>
    </row>
    <row r="27" ht="15.75" customHeight="1">
      <c r="A27" s="35" t="s">
        <v>1234</v>
      </c>
      <c r="B27" s="36" t="s">
        <v>1226</v>
      </c>
      <c r="C27" s="36" t="s">
        <v>1235</v>
      </c>
      <c r="D27" s="36" t="s">
        <v>1236</v>
      </c>
      <c r="E27" s="36" t="s">
        <v>1237</v>
      </c>
      <c r="F27" s="37" t="s">
        <v>5</v>
      </c>
      <c r="G27" s="35" t="s">
        <v>324</v>
      </c>
      <c r="H27" s="35" t="s">
        <v>56</v>
      </c>
      <c r="I27" s="35" t="s">
        <v>9</v>
      </c>
      <c r="J27" s="39" t="s">
        <v>57</v>
      </c>
      <c r="K27" s="35" t="s">
        <v>57</v>
      </c>
      <c r="L27" s="36" t="s">
        <v>57</v>
      </c>
    </row>
    <row r="28" ht="15.75" customHeight="1">
      <c r="A28" s="40" t="s">
        <v>1238</v>
      </c>
      <c r="B28" s="41" t="s">
        <v>1226</v>
      </c>
      <c r="C28" s="41" t="s">
        <v>1239</v>
      </c>
      <c r="D28" s="41" t="s">
        <v>1240</v>
      </c>
      <c r="E28" s="41" t="s">
        <v>1241</v>
      </c>
      <c r="F28" s="44" t="s">
        <v>72</v>
      </c>
      <c r="G28" s="40" t="s">
        <v>62</v>
      </c>
      <c r="H28" s="40" t="s">
        <v>56</v>
      </c>
      <c r="I28" s="40" t="s">
        <v>9</v>
      </c>
      <c r="J28" s="43" t="s">
        <v>57</v>
      </c>
      <c r="K28" s="40" t="s">
        <v>57</v>
      </c>
      <c r="L28" s="41" t="s">
        <v>57</v>
      </c>
    </row>
    <row r="29" ht="15.75" customHeight="1">
      <c r="A29" s="35" t="s">
        <v>1242</v>
      </c>
      <c r="B29" s="36" t="s">
        <v>1226</v>
      </c>
      <c r="C29" s="36" t="s">
        <v>1243</v>
      </c>
      <c r="D29" s="36" t="s">
        <v>1244</v>
      </c>
      <c r="E29" s="36" t="s">
        <v>1245</v>
      </c>
      <c r="F29" s="45" t="s">
        <v>72</v>
      </c>
      <c r="G29" s="35" t="s">
        <v>62</v>
      </c>
      <c r="H29" s="35" t="s">
        <v>56</v>
      </c>
      <c r="I29" s="35" t="s">
        <v>9</v>
      </c>
      <c r="J29" s="39" t="s">
        <v>57</v>
      </c>
      <c r="K29" s="35" t="s">
        <v>57</v>
      </c>
      <c r="L29" s="36" t="s">
        <v>57</v>
      </c>
    </row>
    <row r="30" ht="15.75" customHeight="1">
      <c r="A30" s="40" t="s">
        <v>1246</v>
      </c>
      <c r="B30" s="41" t="s">
        <v>45</v>
      </c>
      <c r="C30" s="41" t="s">
        <v>1247</v>
      </c>
      <c r="D30" s="41" t="s">
        <v>1248</v>
      </c>
      <c r="E30" s="41" t="s">
        <v>1249</v>
      </c>
      <c r="F30" s="42" t="s">
        <v>5</v>
      </c>
      <c r="G30" s="40" t="s">
        <v>55</v>
      </c>
      <c r="H30" s="40" t="s">
        <v>63</v>
      </c>
      <c r="I30" s="40" t="s">
        <v>9</v>
      </c>
      <c r="J30" s="43" t="s">
        <v>57</v>
      </c>
      <c r="K30" s="40" t="s">
        <v>57</v>
      </c>
      <c r="L30" s="41" t="s">
        <v>57</v>
      </c>
    </row>
    <row r="31" ht="15.75" customHeight="1">
      <c r="A31" s="35" t="s">
        <v>1250</v>
      </c>
      <c r="B31" s="36" t="s">
        <v>45</v>
      </c>
      <c r="C31" s="36" t="s">
        <v>1251</v>
      </c>
      <c r="D31" s="36" t="s">
        <v>1252</v>
      </c>
      <c r="E31" s="36" t="s">
        <v>1253</v>
      </c>
      <c r="F31" s="37" t="s">
        <v>5</v>
      </c>
      <c r="G31" s="35" t="s">
        <v>62</v>
      </c>
      <c r="H31" s="35" t="s">
        <v>56</v>
      </c>
      <c r="I31" s="35" t="s">
        <v>9</v>
      </c>
      <c r="J31" s="39" t="s">
        <v>57</v>
      </c>
      <c r="K31" s="35" t="s">
        <v>57</v>
      </c>
      <c r="L31" s="36" t="s">
        <v>57</v>
      </c>
    </row>
    <row r="32" ht="15.75" customHeight="1">
      <c r="A32" s="40" t="s">
        <v>1254</v>
      </c>
      <c r="B32" s="41" t="s">
        <v>45</v>
      </c>
      <c r="C32" s="41" t="s">
        <v>1255</v>
      </c>
      <c r="D32" s="41" t="s">
        <v>1256</v>
      </c>
      <c r="E32" s="41" t="s">
        <v>1257</v>
      </c>
      <c r="F32" s="42" t="s">
        <v>5</v>
      </c>
      <c r="G32" s="40" t="s">
        <v>62</v>
      </c>
      <c r="H32" s="40" t="s">
        <v>56</v>
      </c>
      <c r="I32" s="40" t="s">
        <v>9</v>
      </c>
      <c r="J32" s="43" t="s">
        <v>57</v>
      </c>
      <c r="K32" s="40" t="s">
        <v>57</v>
      </c>
      <c r="L32" s="41" t="s">
        <v>57</v>
      </c>
    </row>
    <row r="33" ht="15.75" customHeight="1">
      <c r="A33" s="35" t="s">
        <v>1258</v>
      </c>
      <c r="B33" s="36" t="s">
        <v>45</v>
      </c>
      <c r="C33" s="36" t="s">
        <v>1259</v>
      </c>
      <c r="D33" s="36" t="s">
        <v>1260</v>
      </c>
      <c r="E33" s="36" t="s">
        <v>1261</v>
      </c>
      <c r="F33" s="37" t="s">
        <v>5</v>
      </c>
      <c r="G33" s="35" t="s">
        <v>62</v>
      </c>
      <c r="H33" s="35" t="s">
        <v>63</v>
      </c>
      <c r="I33" s="35" t="s">
        <v>9</v>
      </c>
      <c r="J33" s="39" t="s">
        <v>57</v>
      </c>
      <c r="K33" s="35" t="s">
        <v>57</v>
      </c>
      <c r="L33" s="36" t="s">
        <v>57</v>
      </c>
    </row>
    <row r="34" ht="15.75" customHeight="1">
      <c r="A34" s="40" t="s">
        <v>1262</v>
      </c>
      <c r="B34" s="41" t="s">
        <v>45</v>
      </c>
      <c r="C34" s="41" t="s">
        <v>1263</v>
      </c>
      <c r="D34" s="41" t="s">
        <v>1264</v>
      </c>
      <c r="E34" s="41" t="s">
        <v>1265</v>
      </c>
      <c r="F34" s="44" t="s">
        <v>72</v>
      </c>
      <c r="G34" s="40" t="s">
        <v>62</v>
      </c>
      <c r="H34" s="40" t="s">
        <v>56</v>
      </c>
      <c r="I34" s="40" t="s">
        <v>9</v>
      </c>
      <c r="J34" s="43" t="s">
        <v>57</v>
      </c>
      <c r="K34" s="40" t="s">
        <v>57</v>
      </c>
      <c r="L34" s="41" t="s">
        <v>57</v>
      </c>
    </row>
    <row r="35" ht="15.75" customHeight="1">
      <c r="A35" s="35" t="s">
        <v>1266</v>
      </c>
      <c r="B35" s="36" t="s">
        <v>1267</v>
      </c>
      <c r="C35" s="36" t="s">
        <v>1268</v>
      </c>
      <c r="D35" s="36" t="s">
        <v>1269</v>
      </c>
      <c r="E35" s="36" t="s">
        <v>1270</v>
      </c>
      <c r="F35" s="37" t="s">
        <v>5</v>
      </c>
      <c r="G35" s="35" t="s">
        <v>55</v>
      </c>
      <c r="H35" s="35" t="s">
        <v>63</v>
      </c>
      <c r="I35" s="35" t="s">
        <v>9</v>
      </c>
      <c r="J35" s="39" t="s">
        <v>57</v>
      </c>
      <c r="K35" s="35" t="s">
        <v>57</v>
      </c>
      <c r="L35" s="36" t="s">
        <v>57</v>
      </c>
    </row>
    <row r="36" ht="15.75" customHeight="1">
      <c r="A36" s="40" t="s">
        <v>1271</v>
      </c>
      <c r="B36" s="41" t="s">
        <v>1267</v>
      </c>
      <c r="C36" s="41" t="s">
        <v>1272</v>
      </c>
      <c r="D36" s="41" t="s">
        <v>1273</v>
      </c>
      <c r="E36" s="41" t="s">
        <v>1274</v>
      </c>
      <c r="F36" s="42" t="s">
        <v>5</v>
      </c>
      <c r="G36" s="40" t="s">
        <v>62</v>
      </c>
      <c r="H36" s="40" t="s">
        <v>56</v>
      </c>
      <c r="I36" s="40" t="s">
        <v>9</v>
      </c>
      <c r="J36" s="43" t="s">
        <v>57</v>
      </c>
      <c r="K36" s="40" t="s">
        <v>57</v>
      </c>
      <c r="L36" s="41" t="s">
        <v>57</v>
      </c>
    </row>
    <row r="37" ht="15.75" customHeight="1">
      <c r="A37" s="35" t="s">
        <v>1275</v>
      </c>
      <c r="B37" s="36" t="s">
        <v>1267</v>
      </c>
      <c r="C37" s="36" t="s">
        <v>1276</v>
      </c>
      <c r="D37" s="36" t="s">
        <v>1277</v>
      </c>
      <c r="E37" s="36" t="s">
        <v>1278</v>
      </c>
      <c r="F37" s="45" t="s">
        <v>72</v>
      </c>
      <c r="G37" s="35" t="s">
        <v>73</v>
      </c>
      <c r="H37" s="35" t="s">
        <v>56</v>
      </c>
      <c r="I37" s="35" t="s">
        <v>9</v>
      </c>
      <c r="J37" s="39" t="s">
        <v>57</v>
      </c>
      <c r="K37" s="35" t="s">
        <v>57</v>
      </c>
      <c r="L37" s="36" t="s">
        <v>57</v>
      </c>
    </row>
    <row r="38" ht="15.75" customHeight="1">
      <c r="A38" s="40" t="s">
        <v>1279</v>
      </c>
      <c r="B38" s="41" t="s">
        <v>1267</v>
      </c>
      <c r="C38" s="41" t="s">
        <v>1280</v>
      </c>
      <c r="D38" s="41" t="s">
        <v>1281</v>
      </c>
      <c r="E38" s="41" t="s">
        <v>1282</v>
      </c>
      <c r="F38" s="42" t="s">
        <v>5</v>
      </c>
      <c r="G38" s="40" t="s">
        <v>62</v>
      </c>
      <c r="H38" s="40" t="s">
        <v>56</v>
      </c>
      <c r="I38" s="40" t="s">
        <v>9</v>
      </c>
      <c r="J38" s="43" t="s">
        <v>57</v>
      </c>
      <c r="K38" s="40" t="s">
        <v>57</v>
      </c>
      <c r="L38" s="41" t="s">
        <v>57</v>
      </c>
    </row>
    <row r="39" ht="15.75" customHeight="1">
      <c r="A39" s="35" t="s">
        <v>1283</v>
      </c>
      <c r="B39" s="36" t="s">
        <v>45</v>
      </c>
      <c r="C39" s="36" t="s">
        <v>1284</v>
      </c>
      <c r="D39" s="36" t="s">
        <v>1285</v>
      </c>
      <c r="E39" s="36" t="s">
        <v>1286</v>
      </c>
      <c r="F39" s="37" t="s">
        <v>5</v>
      </c>
      <c r="G39" s="35" t="s">
        <v>62</v>
      </c>
      <c r="H39" s="35" t="s">
        <v>56</v>
      </c>
      <c r="I39" s="35" t="s">
        <v>9</v>
      </c>
      <c r="J39" s="39" t="s">
        <v>57</v>
      </c>
      <c r="K39" s="35" t="s">
        <v>57</v>
      </c>
      <c r="L39" s="36" t="s">
        <v>57</v>
      </c>
    </row>
    <row r="40" ht="15.75" customHeight="1">
      <c r="A40" s="40" t="s">
        <v>1287</v>
      </c>
      <c r="B40" s="41" t="s">
        <v>45</v>
      </c>
      <c r="C40" s="41" t="s">
        <v>1288</v>
      </c>
      <c r="D40" s="41" t="s">
        <v>1289</v>
      </c>
      <c r="E40" s="41" t="s">
        <v>1290</v>
      </c>
      <c r="F40" s="42" t="s">
        <v>5</v>
      </c>
      <c r="G40" s="40" t="s">
        <v>62</v>
      </c>
      <c r="H40" s="40" t="s">
        <v>56</v>
      </c>
      <c r="I40" s="40" t="s">
        <v>9</v>
      </c>
      <c r="J40" s="43" t="s">
        <v>57</v>
      </c>
      <c r="K40" s="40" t="s">
        <v>57</v>
      </c>
      <c r="L40" s="41" t="s">
        <v>57</v>
      </c>
    </row>
    <row r="41" ht="15.75" customHeight="1">
      <c r="A41" s="35" t="s">
        <v>1291</v>
      </c>
      <c r="B41" s="36" t="s">
        <v>45</v>
      </c>
      <c r="C41" s="36" t="s">
        <v>1292</v>
      </c>
      <c r="D41" s="36" t="s">
        <v>1293</v>
      </c>
      <c r="E41" s="36" t="s">
        <v>1294</v>
      </c>
      <c r="F41" s="37" t="s">
        <v>5</v>
      </c>
      <c r="G41" s="35" t="s">
        <v>62</v>
      </c>
      <c r="H41" s="35" t="s">
        <v>56</v>
      </c>
      <c r="I41" s="35" t="s">
        <v>9</v>
      </c>
      <c r="J41" s="39" t="s">
        <v>57</v>
      </c>
      <c r="K41" s="35" t="s">
        <v>57</v>
      </c>
      <c r="L41" s="36" t="s">
        <v>57</v>
      </c>
    </row>
    <row r="42" ht="15.75" customHeight="1">
      <c r="A42" s="40" t="s">
        <v>1295</v>
      </c>
      <c r="B42" s="41" t="s">
        <v>1175</v>
      </c>
      <c r="C42" s="41" t="s">
        <v>1296</v>
      </c>
      <c r="D42" s="41" t="s">
        <v>1297</v>
      </c>
      <c r="E42" s="41" t="s">
        <v>1298</v>
      </c>
      <c r="F42" s="44" t="s">
        <v>72</v>
      </c>
      <c r="G42" s="40" t="s">
        <v>62</v>
      </c>
      <c r="H42" s="40" t="s">
        <v>56</v>
      </c>
      <c r="I42" s="40" t="s">
        <v>9</v>
      </c>
      <c r="J42" s="43" t="s">
        <v>57</v>
      </c>
      <c r="K42" s="40" t="s">
        <v>57</v>
      </c>
      <c r="L42" s="41" t="s">
        <v>57</v>
      </c>
    </row>
    <row r="43" ht="15.75" customHeight="1">
      <c r="A43" s="35" t="s">
        <v>1299</v>
      </c>
      <c r="B43" s="36" t="s">
        <v>1184</v>
      </c>
      <c r="C43" s="36" t="s">
        <v>1300</v>
      </c>
      <c r="D43" s="36" t="s">
        <v>1301</v>
      </c>
      <c r="E43" s="36" t="s">
        <v>1302</v>
      </c>
      <c r="F43" s="37" t="s">
        <v>5</v>
      </c>
      <c r="G43" s="35" t="s">
        <v>62</v>
      </c>
      <c r="H43" s="35" t="s">
        <v>56</v>
      </c>
      <c r="I43" s="35" t="s">
        <v>9</v>
      </c>
      <c r="J43" s="39" t="s">
        <v>57</v>
      </c>
      <c r="K43" s="35" t="s">
        <v>57</v>
      </c>
      <c r="L43" s="36" t="s">
        <v>57</v>
      </c>
    </row>
    <row r="44" ht="15.75" customHeight="1">
      <c r="A44" s="40" t="s">
        <v>1303</v>
      </c>
      <c r="B44" s="41" t="s">
        <v>1304</v>
      </c>
      <c r="C44" s="41" t="s">
        <v>1305</v>
      </c>
      <c r="D44" s="41" t="s">
        <v>1306</v>
      </c>
      <c r="E44" s="41" t="s">
        <v>1307</v>
      </c>
      <c r="F44" s="44" t="s">
        <v>72</v>
      </c>
      <c r="G44" s="40" t="s">
        <v>62</v>
      </c>
      <c r="H44" s="40" t="s">
        <v>63</v>
      </c>
      <c r="I44" s="40" t="s">
        <v>9</v>
      </c>
      <c r="J44" s="43" t="s">
        <v>57</v>
      </c>
      <c r="K44" s="40" t="s">
        <v>57</v>
      </c>
      <c r="L44" s="41" t="s">
        <v>57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44"/>
  <mergeCells count="2">
    <mergeCell ref="A1:L1"/>
    <mergeCell ref="A2:L2"/>
  </mergeCells>
  <conditionalFormatting sqref="I5:I44">
    <cfRule type="cellIs" dxfId="0" priority="1" operator="equal">
      <formula>"Pass"</formula>
    </cfRule>
  </conditionalFormatting>
  <conditionalFormatting sqref="I5:I44">
    <cfRule type="cellIs" dxfId="1" priority="2" operator="equal">
      <formula>"Fail"</formula>
    </cfRule>
  </conditionalFormatting>
  <conditionalFormatting sqref="I5:I44">
    <cfRule type="cellIs" dxfId="2" priority="3" operator="equal">
      <formula>"Blocked"</formula>
    </cfRule>
  </conditionalFormatting>
  <dataValidations>
    <dataValidation type="list" allowBlank="1" sqref="F5:F44">
      <formula1>"P1,P2,P3"</formula1>
    </dataValidation>
    <dataValidation type="list" allowBlank="1" sqref="H5:H44">
      <formula1>"Playwright,Manual,API"</formula1>
    </dataValidation>
    <dataValidation type="list" allowBlank="1" sqref="G5:G44">
      <formula1>"Smoke,Regression,Edge,Negative"</formula1>
    </dataValidation>
    <dataValidation type="list" allowBlank="1" sqref="I5:I44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70" t="s">
        <v>1308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1309</v>
      </c>
    </row>
    <row r="4" ht="19.5" customHeight="1">
      <c r="A4" s="71" t="s">
        <v>38</v>
      </c>
      <c r="B4" s="71" t="s">
        <v>39</v>
      </c>
      <c r="C4" s="71" t="s">
        <v>40</v>
      </c>
      <c r="D4" s="71" t="s">
        <v>41</v>
      </c>
      <c r="E4" s="71" t="s">
        <v>42</v>
      </c>
      <c r="F4" s="71" t="s">
        <v>43</v>
      </c>
      <c r="G4" s="71" t="s">
        <v>44</v>
      </c>
      <c r="H4" s="71" t="s">
        <v>45</v>
      </c>
      <c r="I4" s="71" t="s">
        <v>46</v>
      </c>
      <c r="J4" s="71" t="s">
        <v>47</v>
      </c>
      <c r="K4" s="71" t="s">
        <v>48</v>
      </c>
      <c r="L4" s="71" t="s">
        <v>49</v>
      </c>
    </row>
    <row r="5">
      <c r="A5" s="35" t="s">
        <v>1310</v>
      </c>
      <c r="B5" s="36" t="s">
        <v>1311</v>
      </c>
      <c r="C5" s="36" t="s">
        <v>1312</v>
      </c>
      <c r="D5" s="36" t="s">
        <v>1313</v>
      </c>
      <c r="E5" s="36" t="s">
        <v>1314</v>
      </c>
      <c r="F5" s="37" t="s">
        <v>5</v>
      </c>
      <c r="G5" s="35" t="s">
        <v>62</v>
      </c>
      <c r="H5" s="35" t="s">
        <v>56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1315</v>
      </c>
      <c r="B6" s="41" t="s">
        <v>1311</v>
      </c>
      <c r="C6" s="41" t="s">
        <v>1316</v>
      </c>
      <c r="D6" s="41" t="s">
        <v>1317</v>
      </c>
      <c r="E6" s="41" t="s">
        <v>1318</v>
      </c>
      <c r="F6" s="42" t="s">
        <v>5</v>
      </c>
      <c r="G6" s="40" t="s">
        <v>62</v>
      </c>
      <c r="H6" s="40" t="s">
        <v>56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1319</v>
      </c>
      <c r="B7" s="36" t="s">
        <v>1311</v>
      </c>
      <c r="C7" s="36" t="s">
        <v>1320</v>
      </c>
      <c r="D7" s="36" t="s">
        <v>1321</v>
      </c>
      <c r="E7" s="36" t="s">
        <v>1322</v>
      </c>
      <c r="F7" s="37" t="s">
        <v>5</v>
      </c>
      <c r="G7" s="35" t="s">
        <v>62</v>
      </c>
      <c r="H7" s="35" t="s">
        <v>56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1323</v>
      </c>
      <c r="B8" s="41" t="s">
        <v>1311</v>
      </c>
      <c r="C8" s="41" t="s">
        <v>1324</v>
      </c>
      <c r="D8" s="41" t="s">
        <v>1325</v>
      </c>
      <c r="E8" s="41" t="s">
        <v>1326</v>
      </c>
      <c r="F8" s="42" t="s">
        <v>5</v>
      </c>
      <c r="G8" s="40" t="s">
        <v>62</v>
      </c>
      <c r="H8" s="40" t="s">
        <v>56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1327</v>
      </c>
      <c r="B9" s="36" t="s">
        <v>1311</v>
      </c>
      <c r="C9" s="36" t="s">
        <v>1328</v>
      </c>
      <c r="D9" s="36" t="s">
        <v>1329</v>
      </c>
      <c r="E9" s="36" t="s">
        <v>1330</v>
      </c>
      <c r="F9" s="37" t="s">
        <v>5</v>
      </c>
      <c r="G9" s="35" t="s">
        <v>62</v>
      </c>
      <c r="H9" s="35" t="s">
        <v>56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1331</v>
      </c>
      <c r="B10" s="41" t="s">
        <v>1311</v>
      </c>
      <c r="C10" s="41" t="s">
        <v>1332</v>
      </c>
      <c r="D10" s="41" t="s">
        <v>1333</v>
      </c>
      <c r="E10" s="41" t="s">
        <v>1334</v>
      </c>
      <c r="F10" s="42" t="s">
        <v>5</v>
      </c>
      <c r="G10" s="40" t="s">
        <v>62</v>
      </c>
      <c r="H10" s="40" t="s">
        <v>56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1335</v>
      </c>
      <c r="B11" s="36" t="s">
        <v>1311</v>
      </c>
      <c r="C11" s="36" t="s">
        <v>1336</v>
      </c>
      <c r="D11" s="36" t="s">
        <v>1337</v>
      </c>
      <c r="E11" s="36" t="s">
        <v>1338</v>
      </c>
      <c r="F11" s="37" t="s">
        <v>5</v>
      </c>
      <c r="G11" s="35" t="s">
        <v>62</v>
      </c>
      <c r="H11" s="35" t="s">
        <v>56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1339</v>
      </c>
      <c r="B12" s="41" t="s">
        <v>1311</v>
      </c>
      <c r="C12" s="41" t="s">
        <v>1340</v>
      </c>
      <c r="D12" s="41" t="s">
        <v>1341</v>
      </c>
      <c r="E12" s="41" t="s">
        <v>1342</v>
      </c>
      <c r="F12" s="42" t="s">
        <v>5</v>
      </c>
      <c r="G12" s="40" t="s">
        <v>62</v>
      </c>
      <c r="H12" s="40" t="s">
        <v>56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1343</v>
      </c>
      <c r="B13" s="36" t="s">
        <v>1344</v>
      </c>
      <c r="C13" s="36" t="s">
        <v>1345</v>
      </c>
      <c r="D13" s="36" t="s">
        <v>1346</v>
      </c>
      <c r="E13" s="36" t="s">
        <v>1347</v>
      </c>
      <c r="F13" s="37" t="s">
        <v>5</v>
      </c>
      <c r="G13" s="35" t="s">
        <v>62</v>
      </c>
      <c r="H13" s="35" t="s">
        <v>56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1348</v>
      </c>
      <c r="B14" s="41" t="s">
        <v>1344</v>
      </c>
      <c r="C14" s="41" t="s">
        <v>1349</v>
      </c>
      <c r="D14" s="41" t="s">
        <v>1350</v>
      </c>
      <c r="E14" s="41" t="s">
        <v>1351</v>
      </c>
      <c r="F14" s="42" t="s">
        <v>5</v>
      </c>
      <c r="G14" s="40" t="s">
        <v>62</v>
      </c>
      <c r="H14" s="40" t="s">
        <v>56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1352</v>
      </c>
      <c r="B15" s="36" t="s">
        <v>1353</v>
      </c>
      <c r="C15" s="36" t="s">
        <v>1354</v>
      </c>
      <c r="D15" s="36" t="s">
        <v>1355</v>
      </c>
      <c r="E15" s="36" t="s">
        <v>1356</v>
      </c>
      <c r="F15" s="37" t="s">
        <v>5</v>
      </c>
      <c r="G15" s="35" t="s">
        <v>62</v>
      </c>
      <c r="H15" s="35" t="s">
        <v>56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1357</v>
      </c>
      <c r="B16" s="41" t="s">
        <v>1353</v>
      </c>
      <c r="C16" s="41" t="s">
        <v>1358</v>
      </c>
      <c r="D16" s="41" t="s">
        <v>1359</v>
      </c>
      <c r="E16" s="41" t="s">
        <v>1360</v>
      </c>
      <c r="F16" s="44" t="s">
        <v>72</v>
      </c>
      <c r="G16" s="40" t="s">
        <v>62</v>
      </c>
      <c r="H16" s="40" t="s">
        <v>56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1361</v>
      </c>
      <c r="B17" s="36" t="s">
        <v>1362</v>
      </c>
      <c r="C17" s="36" t="s">
        <v>1363</v>
      </c>
      <c r="D17" s="36" t="s">
        <v>1364</v>
      </c>
      <c r="E17" s="36" t="s">
        <v>1365</v>
      </c>
      <c r="F17" s="45" t="s">
        <v>72</v>
      </c>
      <c r="G17" s="35" t="s">
        <v>62</v>
      </c>
      <c r="H17" s="35" t="s">
        <v>56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1366</v>
      </c>
      <c r="B18" s="41" t="s">
        <v>1367</v>
      </c>
      <c r="C18" s="41" t="s">
        <v>1368</v>
      </c>
      <c r="D18" s="41" t="s">
        <v>1369</v>
      </c>
      <c r="E18" s="41" t="s">
        <v>1370</v>
      </c>
      <c r="F18" s="44" t="s">
        <v>72</v>
      </c>
      <c r="G18" s="40" t="s">
        <v>73</v>
      </c>
      <c r="H18" s="40" t="s">
        <v>56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>
      <c r="A19" s="35" t="s">
        <v>1371</v>
      </c>
      <c r="B19" s="36" t="s">
        <v>1372</v>
      </c>
      <c r="C19" s="36" t="s">
        <v>1373</v>
      </c>
      <c r="D19" s="36" t="s">
        <v>1374</v>
      </c>
      <c r="E19" s="36" t="s">
        <v>1375</v>
      </c>
      <c r="F19" s="45" t="s">
        <v>72</v>
      </c>
      <c r="G19" s="35" t="s">
        <v>62</v>
      </c>
      <c r="H19" s="35" t="s">
        <v>56</v>
      </c>
      <c r="I19" s="35" t="s">
        <v>9</v>
      </c>
      <c r="J19" s="39" t="s">
        <v>57</v>
      </c>
      <c r="K19" s="35" t="s">
        <v>57</v>
      </c>
      <c r="L19" s="36" t="s">
        <v>57</v>
      </c>
    </row>
    <row r="20">
      <c r="A20" s="40" t="s">
        <v>1376</v>
      </c>
      <c r="B20" s="41" t="s">
        <v>1377</v>
      </c>
      <c r="C20" s="41" t="s">
        <v>1378</v>
      </c>
      <c r="D20" s="41" t="s">
        <v>1379</v>
      </c>
      <c r="E20" s="41" t="s">
        <v>1380</v>
      </c>
      <c r="F20" s="42" t="s">
        <v>5</v>
      </c>
      <c r="G20" s="40" t="s">
        <v>62</v>
      </c>
      <c r="H20" s="40" t="s">
        <v>56</v>
      </c>
      <c r="I20" s="40" t="s">
        <v>9</v>
      </c>
      <c r="J20" s="43" t="s">
        <v>57</v>
      </c>
      <c r="K20" s="40" t="s">
        <v>57</v>
      </c>
      <c r="L20" s="41" t="s">
        <v>57</v>
      </c>
    </row>
    <row r="21" ht="15.75" customHeight="1">
      <c r="A21" s="35" t="s">
        <v>1381</v>
      </c>
      <c r="B21" s="36" t="s">
        <v>871</v>
      </c>
      <c r="C21" s="36" t="s">
        <v>1382</v>
      </c>
      <c r="D21" s="36" t="s">
        <v>1383</v>
      </c>
      <c r="E21" s="36" t="s">
        <v>1384</v>
      </c>
      <c r="F21" s="45" t="s">
        <v>72</v>
      </c>
      <c r="G21" s="35" t="s">
        <v>62</v>
      </c>
      <c r="H21" s="35" t="s">
        <v>56</v>
      </c>
      <c r="I21" s="35" t="s">
        <v>9</v>
      </c>
      <c r="J21" s="39" t="s">
        <v>57</v>
      </c>
      <c r="K21" s="35" t="s">
        <v>57</v>
      </c>
      <c r="L21" s="36" t="s">
        <v>57</v>
      </c>
    </row>
    <row r="22" ht="15.75" customHeight="1">
      <c r="A22" s="40" t="s">
        <v>1385</v>
      </c>
      <c r="B22" s="41" t="s">
        <v>1386</v>
      </c>
      <c r="C22" s="41" t="s">
        <v>1387</v>
      </c>
      <c r="D22" s="41" t="s">
        <v>1388</v>
      </c>
      <c r="E22" s="41" t="s">
        <v>1389</v>
      </c>
      <c r="F22" s="42" t="s">
        <v>5</v>
      </c>
      <c r="G22" s="40" t="s">
        <v>324</v>
      </c>
      <c r="H22" s="40" t="s">
        <v>591</v>
      </c>
      <c r="I22" s="40" t="s">
        <v>9</v>
      </c>
      <c r="J22" s="43" t="s">
        <v>57</v>
      </c>
      <c r="K22" s="40" t="s">
        <v>57</v>
      </c>
      <c r="L22" s="41" t="s">
        <v>57</v>
      </c>
    </row>
    <row r="23" ht="15.75" customHeight="1">
      <c r="A23" s="35" t="s">
        <v>1390</v>
      </c>
      <c r="B23" s="36" t="s">
        <v>265</v>
      </c>
      <c r="C23" s="36" t="s">
        <v>1391</v>
      </c>
      <c r="D23" s="36" t="s">
        <v>1392</v>
      </c>
      <c r="E23" s="36" t="s">
        <v>1393</v>
      </c>
      <c r="F23" s="37" t="s">
        <v>5</v>
      </c>
      <c r="G23" s="35" t="s">
        <v>62</v>
      </c>
      <c r="H23" s="35" t="s">
        <v>56</v>
      </c>
      <c r="I23" s="35" t="s">
        <v>9</v>
      </c>
      <c r="J23" s="39" t="s">
        <v>57</v>
      </c>
      <c r="K23" s="35" t="s">
        <v>57</v>
      </c>
      <c r="L23" s="36" t="s">
        <v>57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23"/>
  <mergeCells count="2">
    <mergeCell ref="A1:L1"/>
    <mergeCell ref="A2:L2"/>
  </mergeCells>
  <conditionalFormatting sqref="I5:I23">
    <cfRule type="cellIs" dxfId="0" priority="1" operator="equal">
      <formula>"Pass"</formula>
    </cfRule>
  </conditionalFormatting>
  <conditionalFormatting sqref="I5:I23">
    <cfRule type="cellIs" dxfId="1" priority="2" operator="equal">
      <formula>"Fail"</formula>
    </cfRule>
  </conditionalFormatting>
  <conditionalFormatting sqref="I5:I23">
    <cfRule type="cellIs" dxfId="2" priority="3" operator="equal">
      <formula>"Blocked"</formula>
    </cfRule>
  </conditionalFormatting>
  <dataValidations>
    <dataValidation type="list" allowBlank="1" sqref="F5:F23">
      <formula1>"P1,P2,P3"</formula1>
    </dataValidation>
    <dataValidation type="list" allowBlank="1" sqref="H5:H23">
      <formula1>"Playwright,Manual,API"</formula1>
    </dataValidation>
    <dataValidation type="list" allowBlank="1" sqref="G5:G23">
      <formula1>"Smoke,Regression,Edge,Negative"</formula1>
    </dataValidation>
    <dataValidation type="list" allowBlank="1" sqref="I5:I23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72" t="s">
        <v>1394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1395</v>
      </c>
    </row>
    <row r="4" ht="19.5" customHeight="1">
      <c r="A4" s="73" t="s">
        <v>38</v>
      </c>
      <c r="B4" s="73" t="s">
        <v>39</v>
      </c>
      <c r="C4" s="73" t="s">
        <v>40</v>
      </c>
      <c r="D4" s="73" t="s">
        <v>41</v>
      </c>
      <c r="E4" s="73" t="s">
        <v>42</v>
      </c>
      <c r="F4" s="73" t="s">
        <v>43</v>
      </c>
      <c r="G4" s="73" t="s">
        <v>44</v>
      </c>
      <c r="H4" s="73" t="s">
        <v>45</v>
      </c>
      <c r="I4" s="73" t="s">
        <v>46</v>
      </c>
      <c r="J4" s="73" t="s">
        <v>47</v>
      </c>
      <c r="K4" s="73" t="s">
        <v>48</v>
      </c>
      <c r="L4" s="73" t="s">
        <v>49</v>
      </c>
    </row>
    <row r="5">
      <c r="A5" s="35" t="s">
        <v>1396</v>
      </c>
      <c r="B5" s="36" t="s">
        <v>1397</v>
      </c>
      <c r="C5" s="36" t="s">
        <v>1398</v>
      </c>
      <c r="D5" s="36" t="s">
        <v>1399</v>
      </c>
      <c r="E5" s="36" t="s">
        <v>1400</v>
      </c>
      <c r="F5" s="37" t="s">
        <v>5</v>
      </c>
      <c r="G5" s="35" t="s">
        <v>62</v>
      </c>
      <c r="H5" s="35" t="s">
        <v>591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1401</v>
      </c>
      <c r="B6" s="41" t="s">
        <v>1397</v>
      </c>
      <c r="C6" s="41" t="s">
        <v>1402</v>
      </c>
      <c r="D6" s="41" t="s">
        <v>1403</v>
      </c>
      <c r="E6" s="41" t="s">
        <v>1404</v>
      </c>
      <c r="F6" s="42" t="s">
        <v>5</v>
      </c>
      <c r="G6" s="40" t="s">
        <v>62</v>
      </c>
      <c r="H6" s="40" t="s">
        <v>591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1405</v>
      </c>
      <c r="B7" s="36" t="s">
        <v>1397</v>
      </c>
      <c r="C7" s="36" t="s">
        <v>1406</v>
      </c>
      <c r="D7" s="36" t="s">
        <v>1407</v>
      </c>
      <c r="E7" s="36" t="s">
        <v>1408</v>
      </c>
      <c r="F7" s="37" t="s">
        <v>5</v>
      </c>
      <c r="G7" s="35" t="s">
        <v>62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1409</v>
      </c>
      <c r="B8" s="41" t="s">
        <v>1410</v>
      </c>
      <c r="C8" s="41" t="s">
        <v>1411</v>
      </c>
      <c r="D8" s="41" t="s">
        <v>1412</v>
      </c>
      <c r="E8" s="41" t="s">
        <v>1413</v>
      </c>
      <c r="F8" s="42" t="s">
        <v>5</v>
      </c>
      <c r="G8" s="40" t="s">
        <v>62</v>
      </c>
      <c r="H8" s="40" t="s">
        <v>56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74" t="s">
        <v>1414</v>
      </c>
      <c r="B9" s="41" t="s">
        <v>1410</v>
      </c>
      <c r="C9" s="41" t="s">
        <v>1415</v>
      </c>
      <c r="D9" s="41" t="s">
        <v>1416</v>
      </c>
      <c r="E9" s="41" t="s">
        <v>1417</v>
      </c>
      <c r="F9" s="42" t="s">
        <v>5</v>
      </c>
      <c r="G9" s="40" t="s">
        <v>62</v>
      </c>
      <c r="H9" s="40" t="s">
        <v>56</v>
      </c>
      <c r="I9" s="40" t="s">
        <v>9</v>
      </c>
      <c r="J9" s="43" t="s">
        <v>57</v>
      </c>
      <c r="K9" s="40" t="s">
        <v>57</v>
      </c>
      <c r="L9" s="41" t="s">
        <v>57</v>
      </c>
    </row>
    <row r="10">
      <c r="A10" s="38" t="s">
        <v>1418</v>
      </c>
      <c r="B10" s="36" t="s">
        <v>1410</v>
      </c>
      <c r="C10" s="36" t="s">
        <v>1419</v>
      </c>
      <c r="D10" s="36" t="s">
        <v>1420</v>
      </c>
      <c r="E10" s="36" t="s">
        <v>1421</v>
      </c>
      <c r="F10" s="45" t="s">
        <v>72</v>
      </c>
      <c r="G10" s="35" t="s">
        <v>62</v>
      </c>
      <c r="H10" s="35" t="s">
        <v>56</v>
      </c>
      <c r="I10" s="35" t="s">
        <v>9</v>
      </c>
      <c r="J10" s="39" t="s">
        <v>57</v>
      </c>
      <c r="K10" s="35" t="s">
        <v>57</v>
      </c>
      <c r="L10" s="36" t="s">
        <v>57</v>
      </c>
    </row>
    <row r="11">
      <c r="A11" s="74" t="s">
        <v>1422</v>
      </c>
      <c r="B11" s="41" t="s">
        <v>1423</v>
      </c>
      <c r="C11" s="41" t="s">
        <v>1424</v>
      </c>
      <c r="D11" s="41" t="s">
        <v>1425</v>
      </c>
      <c r="E11" s="41" t="s">
        <v>1426</v>
      </c>
      <c r="F11" s="42" t="s">
        <v>5</v>
      </c>
      <c r="G11" s="40" t="s">
        <v>62</v>
      </c>
      <c r="H11" s="40" t="s">
        <v>591</v>
      </c>
      <c r="I11" s="40" t="s">
        <v>9</v>
      </c>
      <c r="J11" s="43" t="s">
        <v>57</v>
      </c>
      <c r="K11" s="40" t="s">
        <v>57</v>
      </c>
      <c r="L11" s="41" t="s">
        <v>57</v>
      </c>
    </row>
    <row r="12">
      <c r="A12" s="38" t="s">
        <v>1427</v>
      </c>
      <c r="B12" s="36" t="s">
        <v>1423</v>
      </c>
      <c r="C12" s="36" t="s">
        <v>1428</v>
      </c>
      <c r="D12" s="36" t="s">
        <v>1429</v>
      </c>
      <c r="E12" s="36" t="s">
        <v>1430</v>
      </c>
      <c r="F12" s="37" t="s">
        <v>5</v>
      </c>
      <c r="G12" s="35" t="s">
        <v>62</v>
      </c>
      <c r="H12" s="35" t="s">
        <v>591</v>
      </c>
      <c r="I12" s="35" t="s">
        <v>9</v>
      </c>
      <c r="J12" s="39" t="s">
        <v>57</v>
      </c>
      <c r="K12" s="35" t="s">
        <v>57</v>
      </c>
      <c r="L12" s="36" t="s">
        <v>57</v>
      </c>
    </row>
    <row r="13">
      <c r="A13" s="74" t="s">
        <v>1431</v>
      </c>
      <c r="B13" s="41" t="s">
        <v>1432</v>
      </c>
      <c r="C13" s="41" t="s">
        <v>1433</v>
      </c>
      <c r="D13" s="41" t="s">
        <v>1434</v>
      </c>
      <c r="E13" s="41" t="s">
        <v>1435</v>
      </c>
      <c r="F13" s="42" t="s">
        <v>5</v>
      </c>
      <c r="G13" s="40" t="s">
        <v>62</v>
      </c>
      <c r="H13" s="40" t="s">
        <v>56</v>
      </c>
      <c r="I13" s="40" t="s">
        <v>9</v>
      </c>
      <c r="J13" s="43" t="s">
        <v>57</v>
      </c>
      <c r="K13" s="40" t="s">
        <v>57</v>
      </c>
      <c r="L13" s="41" t="s">
        <v>57</v>
      </c>
    </row>
    <row r="14">
      <c r="A14" s="74" t="s">
        <v>1436</v>
      </c>
      <c r="B14" s="41" t="s">
        <v>1432</v>
      </c>
      <c r="C14" s="41" t="s">
        <v>1437</v>
      </c>
      <c r="D14" s="41" t="s">
        <v>1438</v>
      </c>
      <c r="E14" s="41" t="s">
        <v>1439</v>
      </c>
      <c r="F14" s="44" t="s">
        <v>72</v>
      </c>
      <c r="G14" s="40" t="s">
        <v>62</v>
      </c>
      <c r="H14" s="40" t="s">
        <v>56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8" t="s">
        <v>1440</v>
      </c>
      <c r="B15" s="36" t="s">
        <v>1441</v>
      </c>
      <c r="C15" s="36" t="s">
        <v>1442</v>
      </c>
      <c r="D15" s="36" t="s">
        <v>1443</v>
      </c>
      <c r="E15" s="36" t="s">
        <v>1444</v>
      </c>
      <c r="F15" s="37" t="s">
        <v>5</v>
      </c>
      <c r="G15" s="35" t="s">
        <v>62</v>
      </c>
      <c r="H15" s="35" t="s">
        <v>56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38" t="s">
        <v>1445</v>
      </c>
      <c r="B16" s="36" t="s">
        <v>1446</v>
      </c>
      <c r="C16" s="36" t="s">
        <v>1447</v>
      </c>
      <c r="D16" s="36" t="s">
        <v>1448</v>
      </c>
      <c r="E16" s="36" t="s">
        <v>1449</v>
      </c>
      <c r="F16" s="37" t="s">
        <v>5</v>
      </c>
      <c r="G16" s="35" t="s">
        <v>62</v>
      </c>
      <c r="H16" s="35" t="s">
        <v>591</v>
      </c>
      <c r="I16" s="35" t="s">
        <v>9</v>
      </c>
      <c r="J16" s="39" t="s">
        <v>57</v>
      </c>
      <c r="K16" s="35" t="s">
        <v>57</v>
      </c>
      <c r="L16" s="36" t="s">
        <v>57</v>
      </c>
    </row>
    <row r="17" ht="15.75" customHeight="1">
      <c r="A17" s="38" t="s">
        <v>1450</v>
      </c>
      <c r="B17" s="36" t="s">
        <v>1446</v>
      </c>
      <c r="C17" s="36" t="s">
        <v>1451</v>
      </c>
      <c r="D17" s="36" t="s">
        <v>1452</v>
      </c>
      <c r="E17" s="36" t="s">
        <v>1453</v>
      </c>
      <c r="F17" s="45" t="s">
        <v>72</v>
      </c>
      <c r="G17" s="35" t="s">
        <v>73</v>
      </c>
      <c r="H17" s="35" t="s">
        <v>56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 ht="15.75" customHeight="1">
      <c r="A18" s="74" t="s">
        <v>1454</v>
      </c>
      <c r="B18" s="41" t="s">
        <v>1455</v>
      </c>
      <c r="C18" s="41" t="s">
        <v>1456</v>
      </c>
      <c r="D18" s="41" t="s">
        <v>1457</v>
      </c>
      <c r="E18" s="41" t="s">
        <v>1458</v>
      </c>
      <c r="F18" s="44" t="s">
        <v>72</v>
      </c>
      <c r="G18" s="40" t="s">
        <v>62</v>
      </c>
      <c r="H18" s="40" t="s">
        <v>56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 ht="15.75" customHeight="1">
      <c r="A19" s="38" t="s">
        <v>1459</v>
      </c>
      <c r="B19" s="36" t="s">
        <v>1460</v>
      </c>
      <c r="C19" s="36" t="s">
        <v>1461</v>
      </c>
      <c r="D19" s="36" t="s">
        <v>1462</v>
      </c>
      <c r="E19" s="36" t="s">
        <v>1463</v>
      </c>
      <c r="F19" s="45" t="s">
        <v>72</v>
      </c>
      <c r="G19" s="35" t="s">
        <v>62</v>
      </c>
      <c r="H19" s="35" t="s">
        <v>56</v>
      </c>
      <c r="I19" s="35" t="s">
        <v>9</v>
      </c>
      <c r="J19" s="39" t="s">
        <v>57</v>
      </c>
      <c r="K19" s="35" t="s">
        <v>57</v>
      </c>
      <c r="L19" s="36" t="s">
        <v>57</v>
      </c>
    </row>
    <row r="20" ht="15.75" customHeight="1">
      <c r="A20" s="74" t="s">
        <v>1464</v>
      </c>
      <c r="B20" s="41" t="s">
        <v>1465</v>
      </c>
      <c r="C20" s="41" t="s">
        <v>1466</v>
      </c>
      <c r="D20" s="41" t="s">
        <v>1467</v>
      </c>
      <c r="E20" s="41" t="s">
        <v>1468</v>
      </c>
      <c r="F20" s="44" t="s">
        <v>72</v>
      </c>
      <c r="G20" s="40" t="s">
        <v>62</v>
      </c>
      <c r="H20" s="40" t="s">
        <v>56</v>
      </c>
      <c r="I20" s="40" t="s">
        <v>9</v>
      </c>
      <c r="J20" s="43" t="s">
        <v>57</v>
      </c>
      <c r="K20" s="40" t="s">
        <v>57</v>
      </c>
      <c r="L20" s="41" t="s">
        <v>57</v>
      </c>
    </row>
    <row r="21" ht="15.75" customHeight="1">
      <c r="A21" s="74" t="s">
        <v>1469</v>
      </c>
      <c r="B21" s="41" t="s">
        <v>324</v>
      </c>
      <c r="C21" s="41" t="s">
        <v>1470</v>
      </c>
      <c r="D21" s="41" t="s">
        <v>1471</v>
      </c>
      <c r="E21" s="41" t="s">
        <v>1472</v>
      </c>
      <c r="F21" s="44" t="s">
        <v>72</v>
      </c>
      <c r="G21" s="40" t="s">
        <v>324</v>
      </c>
      <c r="H21" s="40" t="s">
        <v>56</v>
      </c>
      <c r="I21" s="40" t="s">
        <v>9</v>
      </c>
      <c r="J21" s="43" t="s">
        <v>57</v>
      </c>
      <c r="K21" s="40" t="s">
        <v>57</v>
      </c>
      <c r="L21" s="41" t="s">
        <v>57</v>
      </c>
    </row>
    <row r="22" ht="15.75" customHeight="1">
      <c r="A22" s="38" t="s">
        <v>1473</v>
      </c>
      <c r="B22" s="36" t="s">
        <v>324</v>
      </c>
      <c r="C22" s="36" t="s">
        <v>1474</v>
      </c>
      <c r="D22" s="36" t="s">
        <v>1475</v>
      </c>
      <c r="E22" s="36" t="s">
        <v>1476</v>
      </c>
      <c r="F22" s="45" t="s">
        <v>72</v>
      </c>
      <c r="G22" s="35" t="s">
        <v>324</v>
      </c>
      <c r="H22" s="35" t="s">
        <v>56</v>
      </c>
      <c r="I22" s="35" t="s">
        <v>9</v>
      </c>
      <c r="J22" s="39" t="s">
        <v>57</v>
      </c>
      <c r="K22" s="35" t="s">
        <v>57</v>
      </c>
      <c r="L22" s="36" t="s">
        <v>57</v>
      </c>
    </row>
    <row r="23" ht="15.75" customHeight="1">
      <c r="A23" s="38" t="s">
        <v>1477</v>
      </c>
      <c r="B23" s="36" t="s">
        <v>414</v>
      </c>
      <c r="C23" s="36" t="s">
        <v>1478</v>
      </c>
      <c r="D23" s="36" t="s">
        <v>1479</v>
      </c>
      <c r="E23" s="36" t="s">
        <v>1480</v>
      </c>
      <c r="F23" s="45" t="s">
        <v>72</v>
      </c>
      <c r="G23" s="35" t="s">
        <v>62</v>
      </c>
      <c r="H23" s="35" t="s">
        <v>56</v>
      </c>
      <c r="I23" s="35" t="s">
        <v>9</v>
      </c>
      <c r="J23" s="39" t="s">
        <v>57</v>
      </c>
      <c r="K23" s="35" t="s">
        <v>57</v>
      </c>
      <c r="L23" s="36" t="s">
        <v>57</v>
      </c>
    </row>
    <row r="24" ht="15.75" customHeight="1">
      <c r="A24" s="74" t="s">
        <v>1481</v>
      </c>
      <c r="B24" s="41" t="s">
        <v>653</v>
      </c>
      <c r="C24" s="41" t="s">
        <v>1482</v>
      </c>
      <c r="D24" s="41" t="s">
        <v>1483</v>
      </c>
      <c r="E24" s="41" t="s">
        <v>1484</v>
      </c>
      <c r="F24" s="44" t="s">
        <v>72</v>
      </c>
      <c r="G24" s="40" t="s">
        <v>62</v>
      </c>
      <c r="H24" s="40" t="s">
        <v>56</v>
      </c>
      <c r="I24" s="40" t="s">
        <v>9</v>
      </c>
      <c r="J24" s="43" t="s">
        <v>57</v>
      </c>
      <c r="K24" s="40" t="s">
        <v>57</v>
      </c>
      <c r="L24" s="41" t="s">
        <v>57</v>
      </c>
    </row>
    <row r="25" ht="15.75" customHeight="1">
      <c r="A25" s="38" t="s">
        <v>1485</v>
      </c>
      <c r="B25" s="36" t="s">
        <v>1486</v>
      </c>
      <c r="C25" s="36" t="s">
        <v>1487</v>
      </c>
      <c r="D25" s="36" t="s">
        <v>1488</v>
      </c>
      <c r="E25" s="36" t="s">
        <v>1489</v>
      </c>
      <c r="F25" s="45" t="s">
        <v>72</v>
      </c>
      <c r="G25" s="35" t="s">
        <v>62</v>
      </c>
      <c r="H25" s="35" t="s">
        <v>56</v>
      </c>
      <c r="I25" s="35" t="s">
        <v>9</v>
      </c>
      <c r="J25" s="39" t="s">
        <v>57</v>
      </c>
      <c r="K25" s="35" t="s">
        <v>57</v>
      </c>
      <c r="L25" s="36" t="s">
        <v>57</v>
      </c>
    </row>
    <row r="26" ht="15.75" customHeight="1">
      <c r="A26" s="74" t="s">
        <v>1490</v>
      </c>
      <c r="B26" s="41" t="s">
        <v>1491</v>
      </c>
      <c r="C26" s="41" t="s">
        <v>1492</v>
      </c>
      <c r="D26" s="41" t="s">
        <v>1493</v>
      </c>
      <c r="E26" s="41" t="s">
        <v>1494</v>
      </c>
      <c r="F26" s="46" t="s">
        <v>99</v>
      </c>
      <c r="G26" s="40" t="s">
        <v>324</v>
      </c>
      <c r="H26" s="40" t="s">
        <v>56</v>
      </c>
      <c r="I26" s="40" t="s">
        <v>9</v>
      </c>
      <c r="J26" s="43" t="s">
        <v>57</v>
      </c>
      <c r="K26" s="40" t="s">
        <v>57</v>
      </c>
      <c r="L26" s="41" t="s">
        <v>57</v>
      </c>
    </row>
    <row r="27" ht="15.75" customHeight="1">
      <c r="A27" s="38" t="s">
        <v>1495</v>
      </c>
      <c r="B27" s="36" t="s">
        <v>1496</v>
      </c>
      <c r="C27" s="36" t="s">
        <v>1497</v>
      </c>
      <c r="D27" s="36" t="s">
        <v>1498</v>
      </c>
      <c r="E27" s="36" t="s">
        <v>1499</v>
      </c>
      <c r="F27" s="37" t="s">
        <v>5</v>
      </c>
      <c r="G27" s="35" t="s">
        <v>62</v>
      </c>
      <c r="H27" s="35" t="s">
        <v>56</v>
      </c>
      <c r="I27" s="35" t="s">
        <v>9</v>
      </c>
      <c r="J27" s="39" t="s">
        <v>57</v>
      </c>
      <c r="K27" s="35" t="s">
        <v>57</v>
      </c>
      <c r="L27" s="36" t="s">
        <v>57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A$4:$L$27"/>
  <mergeCells count="2">
    <mergeCell ref="A1:L1"/>
    <mergeCell ref="A2:L2"/>
  </mergeCells>
  <conditionalFormatting sqref="I5:I27">
    <cfRule type="cellIs" dxfId="0" priority="1" operator="equal">
      <formula>"Pass"</formula>
    </cfRule>
  </conditionalFormatting>
  <conditionalFormatting sqref="I5:I27">
    <cfRule type="cellIs" dxfId="1" priority="2" operator="equal">
      <formula>"Fail"</formula>
    </cfRule>
  </conditionalFormatting>
  <conditionalFormatting sqref="I5:I27">
    <cfRule type="cellIs" dxfId="2" priority="3" operator="equal">
      <formula>"Blocked"</formula>
    </cfRule>
  </conditionalFormatting>
  <dataValidations>
    <dataValidation type="list" allowBlank="1" sqref="F5:F27">
      <formula1>"P1,P2,P3"</formula1>
    </dataValidation>
    <dataValidation type="list" allowBlank="1" sqref="H5:H27">
      <formula1>"Playwright,Manual,API"</formula1>
    </dataValidation>
    <dataValidation type="list" allowBlank="1" sqref="G5:G27">
      <formula1>"Smoke,Regression,Edge,Negative"</formula1>
    </dataValidation>
    <dataValidation type="list" allowBlank="1" sqref="I5:I27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75" t="s">
        <v>1500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1501</v>
      </c>
    </row>
    <row r="4" ht="19.5" customHeight="1">
      <c r="A4" s="76" t="s">
        <v>38</v>
      </c>
      <c r="B4" s="76" t="s">
        <v>39</v>
      </c>
      <c r="C4" s="76" t="s">
        <v>40</v>
      </c>
      <c r="D4" s="76" t="s">
        <v>41</v>
      </c>
      <c r="E4" s="76" t="s">
        <v>42</v>
      </c>
      <c r="F4" s="76" t="s">
        <v>43</v>
      </c>
      <c r="G4" s="76" t="s">
        <v>44</v>
      </c>
      <c r="H4" s="76" t="s">
        <v>45</v>
      </c>
      <c r="I4" s="76" t="s">
        <v>46</v>
      </c>
      <c r="J4" s="76" t="s">
        <v>47</v>
      </c>
      <c r="K4" s="76" t="s">
        <v>48</v>
      </c>
      <c r="L4" s="76" t="s">
        <v>49</v>
      </c>
    </row>
    <row r="5">
      <c r="A5" s="35" t="s">
        <v>1502</v>
      </c>
      <c r="B5" s="36" t="s">
        <v>1503</v>
      </c>
      <c r="C5" s="36" t="s">
        <v>1504</v>
      </c>
      <c r="D5" s="36" t="s">
        <v>1505</v>
      </c>
      <c r="E5" s="36" t="s">
        <v>1506</v>
      </c>
      <c r="F5" s="37" t="s">
        <v>5</v>
      </c>
      <c r="G5" s="35" t="s">
        <v>62</v>
      </c>
      <c r="H5" s="35" t="s">
        <v>56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1507</v>
      </c>
      <c r="B6" s="41" t="s">
        <v>1503</v>
      </c>
      <c r="C6" s="41" t="s">
        <v>1508</v>
      </c>
      <c r="D6" s="41" t="s">
        <v>1509</v>
      </c>
      <c r="E6" s="41" t="s">
        <v>1510</v>
      </c>
      <c r="F6" s="44" t="s">
        <v>72</v>
      </c>
      <c r="G6" s="40" t="s">
        <v>62</v>
      </c>
      <c r="H6" s="40" t="s">
        <v>56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1511</v>
      </c>
      <c r="B7" s="36" t="s">
        <v>1512</v>
      </c>
      <c r="C7" s="36" t="s">
        <v>1513</v>
      </c>
      <c r="D7" s="36" t="s">
        <v>1514</v>
      </c>
      <c r="E7" s="36" t="s">
        <v>1515</v>
      </c>
      <c r="F7" s="37" t="s">
        <v>5</v>
      </c>
      <c r="G7" s="35" t="s">
        <v>62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1516</v>
      </c>
      <c r="B8" s="41" t="s">
        <v>1512</v>
      </c>
      <c r="C8" s="41" t="s">
        <v>1517</v>
      </c>
      <c r="D8" s="41" t="s">
        <v>1518</v>
      </c>
      <c r="E8" s="41" t="s">
        <v>1519</v>
      </c>
      <c r="F8" s="44" t="s">
        <v>72</v>
      </c>
      <c r="G8" s="40" t="s">
        <v>324</v>
      </c>
      <c r="H8" s="40" t="s">
        <v>56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1520</v>
      </c>
      <c r="B9" s="36" t="s">
        <v>1521</v>
      </c>
      <c r="C9" s="36" t="s">
        <v>1522</v>
      </c>
      <c r="D9" s="36" t="s">
        <v>1523</v>
      </c>
      <c r="E9" s="36" t="s">
        <v>1524</v>
      </c>
      <c r="F9" s="45" t="s">
        <v>72</v>
      </c>
      <c r="G9" s="35" t="s">
        <v>73</v>
      </c>
      <c r="H9" s="35" t="s">
        <v>56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1525</v>
      </c>
      <c r="B10" s="41" t="s">
        <v>1526</v>
      </c>
      <c r="C10" s="41" t="s">
        <v>1527</v>
      </c>
      <c r="D10" s="41" t="s">
        <v>1528</v>
      </c>
      <c r="E10" s="41" t="s">
        <v>1529</v>
      </c>
      <c r="F10" s="44" t="s">
        <v>72</v>
      </c>
      <c r="G10" s="40" t="s">
        <v>62</v>
      </c>
      <c r="H10" s="40" t="s">
        <v>56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1530</v>
      </c>
      <c r="B11" s="36" t="s">
        <v>1531</v>
      </c>
      <c r="C11" s="36" t="s">
        <v>1532</v>
      </c>
      <c r="D11" s="36" t="s">
        <v>1533</v>
      </c>
      <c r="E11" s="36" t="s">
        <v>1534</v>
      </c>
      <c r="F11" s="45" t="s">
        <v>72</v>
      </c>
      <c r="G11" s="35" t="s">
        <v>62</v>
      </c>
      <c r="H11" s="35" t="s">
        <v>63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1535</v>
      </c>
      <c r="B12" s="41" t="s">
        <v>1536</v>
      </c>
      <c r="C12" s="41" t="s">
        <v>1537</v>
      </c>
      <c r="D12" s="41" t="s">
        <v>1538</v>
      </c>
      <c r="E12" s="41" t="s">
        <v>1539</v>
      </c>
      <c r="F12" s="44" t="s">
        <v>72</v>
      </c>
      <c r="G12" s="40" t="s">
        <v>62</v>
      </c>
      <c r="H12" s="40" t="s">
        <v>56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1540</v>
      </c>
      <c r="B13" s="36" t="s">
        <v>1541</v>
      </c>
      <c r="C13" s="36" t="s">
        <v>1542</v>
      </c>
      <c r="D13" s="36" t="s">
        <v>1543</v>
      </c>
      <c r="E13" s="36" t="s">
        <v>1544</v>
      </c>
      <c r="F13" s="47" t="s">
        <v>99</v>
      </c>
      <c r="G13" s="35" t="s">
        <v>73</v>
      </c>
      <c r="H13" s="35" t="s">
        <v>56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1545</v>
      </c>
      <c r="B14" s="41" t="s">
        <v>1114</v>
      </c>
      <c r="C14" s="41" t="s">
        <v>1546</v>
      </c>
      <c r="D14" s="41" t="s">
        <v>1547</v>
      </c>
      <c r="E14" s="41" t="s">
        <v>1548</v>
      </c>
      <c r="F14" s="42" t="s">
        <v>5</v>
      </c>
      <c r="G14" s="40" t="s">
        <v>62</v>
      </c>
      <c r="H14" s="40" t="s">
        <v>56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1549</v>
      </c>
      <c r="B15" s="36" t="s">
        <v>1114</v>
      </c>
      <c r="C15" s="36" t="s">
        <v>1550</v>
      </c>
      <c r="D15" s="36" t="s">
        <v>1551</v>
      </c>
      <c r="E15" s="36" t="s">
        <v>1552</v>
      </c>
      <c r="F15" s="37" t="s">
        <v>5</v>
      </c>
      <c r="G15" s="35" t="s">
        <v>324</v>
      </c>
      <c r="H15" s="35" t="s">
        <v>56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1553</v>
      </c>
      <c r="B16" s="41" t="s">
        <v>1114</v>
      </c>
      <c r="C16" s="41" t="s">
        <v>1554</v>
      </c>
      <c r="D16" s="41" t="s">
        <v>1555</v>
      </c>
      <c r="E16" s="41" t="s">
        <v>1556</v>
      </c>
      <c r="F16" s="42" t="s">
        <v>5</v>
      </c>
      <c r="G16" s="40" t="s">
        <v>324</v>
      </c>
      <c r="H16" s="40" t="s">
        <v>56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1557</v>
      </c>
      <c r="B17" s="36" t="s">
        <v>1558</v>
      </c>
      <c r="C17" s="36" t="s">
        <v>1559</v>
      </c>
      <c r="D17" s="36" t="s">
        <v>1560</v>
      </c>
      <c r="E17" s="36" t="s">
        <v>1561</v>
      </c>
      <c r="F17" s="47" t="s">
        <v>99</v>
      </c>
      <c r="G17" s="35" t="s">
        <v>62</v>
      </c>
      <c r="H17" s="35" t="s">
        <v>56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1562</v>
      </c>
      <c r="B18" s="41" t="s">
        <v>375</v>
      </c>
      <c r="C18" s="41" t="s">
        <v>1563</v>
      </c>
      <c r="D18" s="41" t="s">
        <v>1564</v>
      </c>
      <c r="E18" s="41" t="s">
        <v>1565</v>
      </c>
      <c r="F18" s="44" t="s">
        <v>72</v>
      </c>
      <c r="G18" s="40" t="s">
        <v>62</v>
      </c>
      <c r="H18" s="40" t="s">
        <v>56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>
      <c r="A19" s="35" t="s">
        <v>1566</v>
      </c>
      <c r="B19" s="36" t="s">
        <v>1386</v>
      </c>
      <c r="C19" s="36" t="s">
        <v>1567</v>
      </c>
      <c r="D19" s="36" t="s">
        <v>1568</v>
      </c>
      <c r="E19" s="36" t="s">
        <v>1569</v>
      </c>
      <c r="F19" s="45" t="s">
        <v>72</v>
      </c>
      <c r="G19" s="35" t="s">
        <v>62</v>
      </c>
      <c r="H19" s="35" t="s">
        <v>591</v>
      </c>
      <c r="I19" s="35" t="s">
        <v>9</v>
      </c>
      <c r="J19" s="39" t="s">
        <v>57</v>
      </c>
      <c r="K19" s="35" t="s">
        <v>57</v>
      </c>
      <c r="L19" s="36" t="s">
        <v>57</v>
      </c>
    </row>
    <row r="20">
      <c r="A20" s="40" t="s">
        <v>1570</v>
      </c>
      <c r="B20" s="41" t="s">
        <v>1386</v>
      </c>
      <c r="C20" s="41" t="s">
        <v>1571</v>
      </c>
      <c r="D20" s="41" t="s">
        <v>1572</v>
      </c>
      <c r="E20" s="41" t="s">
        <v>1573</v>
      </c>
      <c r="F20" s="42" t="s">
        <v>5</v>
      </c>
      <c r="G20" s="40" t="s">
        <v>324</v>
      </c>
      <c r="H20" s="40" t="s">
        <v>591</v>
      </c>
      <c r="I20" s="40" t="s">
        <v>9</v>
      </c>
      <c r="J20" s="43" t="s">
        <v>57</v>
      </c>
      <c r="K20" s="40" t="s">
        <v>57</v>
      </c>
      <c r="L20" s="41" t="s">
        <v>57</v>
      </c>
    </row>
    <row r="21" ht="15.75" customHeight="1">
      <c r="A21" s="35" t="s">
        <v>1574</v>
      </c>
      <c r="B21" s="36" t="s">
        <v>1386</v>
      </c>
      <c r="C21" s="36" t="s">
        <v>1575</v>
      </c>
      <c r="D21" s="36" t="s">
        <v>1576</v>
      </c>
      <c r="E21" s="36" t="s">
        <v>1577</v>
      </c>
      <c r="F21" s="45" t="s">
        <v>72</v>
      </c>
      <c r="G21" s="35" t="s">
        <v>62</v>
      </c>
      <c r="H21" s="35" t="s">
        <v>591</v>
      </c>
      <c r="I21" s="35" t="s">
        <v>9</v>
      </c>
      <c r="J21" s="39" t="s">
        <v>57</v>
      </c>
      <c r="K21" s="35" t="s">
        <v>57</v>
      </c>
      <c r="L21" s="36" t="s">
        <v>57</v>
      </c>
    </row>
    <row r="22" ht="15.75" customHeight="1">
      <c r="A22" s="40" t="s">
        <v>1578</v>
      </c>
      <c r="B22" s="41" t="s">
        <v>1386</v>
      </c>
      <c r="C22" s="41" t="s">
        <v>1579</v>
      </c>
      <c r="D22" s="41" t="s">
        <v>1580</v>
      </c>
      <c r="E22" s="41" t="s">
        <v>1581</v>
      </c>
      <c r="F22" s="46" t="s">
        <v>99</v>
      </c>
      <c r="G22" s="40" t="s">
        <v>324</v>
      </c>
      <c r="H22" s="40" t="s">
        <v>591</v>
      </c>
      <c r="I22" s="40" t="s">
        <v>9</v>
      </c>
      <c r="J22" s="43" t="s">
        <v>57</v>
      </c>
      <c r="K22" s="40" t="s">
        <v>57</v>
      </c>
      <c r="L22" s="41" t="s">
        <v>57</v>
      </c>
    </row>
    <row r="23" ht="15.75" customHeight="1">
      <c r="A23" s="35" t="s">
        <v>1582</v>
      </c>
      <c r="B23" s="36" t="s">
        <v>1114</v>
      </c>
      <c r="C23" s="36" t="s">
        <v>1583</v>
      </c>
      <c r="D23" s="36" t="s">
        <v>1584</v>
      </c>
      <c r="E23" s="36" t="s">
        <v>1585</v>
      </c>
      <c r="F23" s="37" t="s">
        <v>5</v>
      </c>
      <c r="G23" s="35" t="s">
        <v>324</v>
      </c>
      <c r="H23" s="35" t="s">
        <v>591</v>
      </c>
      <c r="I23" s="35" t="s">
        <v>9</v>
      </c>
      <c r="J23" s="39" t="s">
        <v>57</v>
      </c>
      <c r="K23" s="35" t="s">
        <v>57</v>
      </c>
      <c r="L23" s="36" t="s">
        <v>57</v>
      </c>
    </row>
    <row r="24" ht="15.75" customHeight="1">
      <c r="A24" s="40" t="s">
        <v>1586</v>
      </c>
      <c r="B24" s="41" t="s">
        <v>1119</v>
      </c>
      <c r="C24" s="41" t="s">
        <v>1587</v>
      </c>
      <c r="D24" s="41" t="s">
        <v>1588</v>
      </c>
      <c r="E24" s="41" t="s">
        <v>1589</v>
      </c>
      <c r="F24" s="44" t="s">
        <v>72</v>
      </c>
      <c r="G24" s="40" t="s">
        <v>73</v>
      </c>
      <c r="H24" s="40" t="s">
        <v>56</v>
      </c>
      <c r="I24" s="40" t="s">
        <v>9</v>
      </c>
      <c r="J24" s="43" t="s">
        <v>57</v>
      </c>
      <c r="K24" s="40" t="s">
        <v>57</v>
      </c>
      <c r="L24" s="41" t="s">
        <v>57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24"/>
  <mergeCells count="2">
    <mergeCell ref="A1:L1"/>
    <mergeCell ref="A2:L2"/>
  </mergeCells>
  <conditionalFormatting sqref="I5:I24">
    <cfRule type="cellIs" dxfId="0" priority="1" operator="equal">
      <formula>"Pass"</formula>
    </cfRule>
  </conditionalFormatting>
  <conditionalFormatting sqref="I5:I24">
    <cfRule type="cellIs" dxfId="1" priority="2" operator="equal">
      <formula>"Fail"</formula>
    </cfRule>
  </conditionalFormatting>
  <conditionalFormatting sqref="I5:I24">
    <cfRule type="cellIs" dxfId="2" priority="3" operator="equal">
      <formula>"Blocked"</formula>
    </cfRule>
  </conditionalFormatting>
  <dataValidations>
    <dataValidation type="list" allowBlank="1" sqref="F5:F24">
      <formula1>"P1,P2,P3"</formula1>
    </dataValidation>
    <dataValidation type="list" allowBlank="1" sqref="H5:H24">
      <formula1>"Playwright,Manual,API"</formula1>
    </dataValidation>
    <dataValidation type="list" allowBlank="1" sqref="G5:G24">
      <formula1>"Smoke,Regression,Edge,Negative"</formula1>
    </dataValidation>
    <dataValidation type="list" allowBlank="1" sqref="I5:I24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38.0"/>
    <col customWidth="1" min="4" max="4" width="46.0"/>
    <col customWidth="1" min="5" max="5" width="56.0"/>
    <col customWidth="1" min="6" max="6" width="9.0"/>
    <col customWidth="1" min="7" max="9" width="12.0"/>
    <col customWidth="1" min="10" max="10" width="14.0"/>
    <col customWidth="1" min="11" max="11" width="12.0"/>
    <col customWidth="1" min="12" max="12" width="30.0"/>
    <col customWidth="1" min="13" max="26" width="9.0"/>
  </cols>
  <sheetData>
    <row r="1" ht="27.75" customHeight="1">
      <c r="A1" s="77" t="s">
        <v>1590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34" t="s">
        <v>1591</v>
      </c>
    </row>
    <row r="4" ht="19.5" customHeight="1">
      <c r="A4" s="78" t="s">
        <v>38</v>
      </c>
      <c r="B4" s="78" t="s">
        <v>39</v>
      </c>
      <c r="C4" s="78" t="s">
        <v>40</v>
      </c>
      <c r="D4" s="78" t="s">
        <v>41</v>
      </c>
      <c r="E4" s="78" t="s">
        <v>42</v>
      </c>
      <c r="F4" s="78" t="s">
        <v>43</v>
      </c>
      <c r="G4" s="78" t="s">
        <v>44</v>
      </c>
      <c r="H4" s="78" t="s">
        <v>45</v>
      </c>
      <c r="I4" s="78" t="s">
        <v>46</v>
      </c>
      <c r="J4" s="78" t="s">
        <v>47</v>
      </c>
      <c r="K4" s="78" t="s">
        <v>48</v>
      </c>
      <c r="L4" s="78" t="s">
        <v>49</v>
      </c>
    </row>
    <row r="5">
      <c r="A5" s="35" t="s">
        <v>1592</v>
      </c>
      <c r="B5" s="36" t="s">
        <v>1593</v>
      </c>
      <c r="C5" s="36" t="s">
        <v>1594</v>
      </c>
      <c r="D5" s="36" t="s">
        <v>1595</v>
      </c>
      <c r="E5" s="36" t="s">
        <v>1596</v>
      </c>
      <c r="F5" s="37" t="s">
        <v>5</v>
      </c>
      <c r="G5" s="35" t="s">
        <v>62</v>
      </c>
      <c r="H5" s="35" t="s">
        <v>63</v>
      </c>
      <c r="I5" s="35" t="s">
        <v>9</v>
      </c>
      <c r="J5" s="39" t="s">
        <v>57</v>
      </c>
      <c r="K5" s="35" t="s">
        <v>57</v>
      </c>
      <c r="L5" s="36" t="s">
        <v>57</v>
      </c>
    </row>
    <row r="6">
      <c r="A6" s="40" t="s">
        <v>1597</v>
      </c>
      <c r="B6" s="41" t="s">
        <v>1593</v>
      </c>
      <c r="C6" s="41" t="s">
        <v>1598</v>
      </c>
      <c r="D6" s="41" t="s">
        <v>1599</v>
      </c>
      <c r="E6" s="41" t="s">
        <v>1600</v>
      </c>
      <c r="F6" s="42" t="s">
        <v>5</v>
      </c>
      <c r="G6" s="40" t="s">
        <v>62</v>
      </c>
      <c r="H6" s="40" t="s">
        <v>63</v>
      </c>
      <c r="I6" s="40" t="s">
        <v>9</v>
      </c>
      <c r="J6" s="43" t="s">
        <v>57</v>
      </c>
      <c r="K6" s="40" t="s">
        <v>57</v>
      </c>
      <c r="L6" s="41" t="s">
        <v>57</v>
      </c>
    </row>
    <row r="7">
      <c r="A7" s="35" t="s">
        <v>1601</v>
      </c>
      <c r="B7" s="36" t="s">
        <v>1593</v>
      </c>
      <c r="C7" s="36" t="s">
        <v>1602</v>
      </c>
      <c r="D7" s="36" t="s">
        <v>1603</v>
      </c>
      <c r="E7" s="36" t="s">
        <v>1604</v>
      </c>
      <c r="F7" s="37" t="s">
        <v>5</v>
      </c>
      <c r="G7" s="35" t="s">
        <v>62</v>
      </c>
      <c r="H7" s="35" t="s">
        <v>63</v>
      </c>
      <c r="I7" s="35" t="s">
        <v>9</v>
      </c>
      <c r="J7" s="39" t="s">
        <v>57</v>
      </c>
      <c r="K7" s="35" t="s">
        <v>57</v>
      </c>
      <c r="L7" s="36" t="s">
        <v>57</v>
      </c>
    </row>
    <row r="8">
      <c r="A8" s="40" t="s">
        <v>1605</v>
      </c>
      <c r="B8" s="41" t="s">
        <v>1593</v>
      </c>
      <c r="C8" s="41" t="s">
        <v>1606</v>
      </c>
      <c r="D8" s="41" t="s">
        <v>1607</v>
      </c>
      <c r="E8" s="41" t="s">
        <v>1608</v>
      </c>
      <c r="F8" s="42" t="s">
        <v>5</v>
      </c>
      <c r="G8" s="40" t="s">
        <v>62</v>
      </c>
      <c r="H8" s="40" t="s">
        <v>63</v>
      </c>
      <c r="I8" s="40" t="s">
        <v>9</v>
      </c>
      <c r="J8" s="43" t="s">
        <v>57</v>
      </c>
      <c r="K8" s="40" t="s">
        <v>57</v>
      </c>
      <c r="L8" s="41" t="s">
        <v>57</v>
      </c>
    </row>
    <row r="9">
      <c r="A9" s="35" t="s">
        <v>1609</v>
      </c>
      <c r="B9" s="36" t="s">
        <v>1593</v>
      </c>
      <c r="C9" s="36" t="s">
        <v>1610</v>
      </c>
      <c r="D9" s="36" t="s">
        <v>1611</v>
      </c>
      <c r="E9" s="36" t="s">
        <v>1612</v>
      </c>
      <c r="F9" s="45" t="s">
        <v>72</v>
      </c>
      <c r="G9" s="35" t="s">
        <v>62</v>
      </c>
      <c r="H9" s="35" t="s">
        <v>56</v>
      </c>
      <c r="I9" s="35" t="s">
        <v>9</v>
      </c>
      <c r="J9" s="39" t="s">
        <v>57</v>
      </c>
      <c r="K9" s="35" t="s">
        <v>57</v>
      </c>
      <c r="L9" s="36" t="s">
        <v>57</v>
      </c>
    </row>
    <row r="10">
      <c r="A10" s="40" t="s">
        <v>1613</v>
      </c>
      <c r="B10" s="41" t="s">
        <v>1593</v>
      </c>
      <c r="C10" s="41" t="s">
        <v>1614</v>
      </c>
      <c r="D10" s="41" t="s">
        <v>1615</v>
      </c>
      <c r="E10" s="41" t="s">
        <v>1616</v>
      </c>
      <c r="F10" s="44" t="s">
        <v>72</v>
      </c>
      <c r="G10" s="40" t="s">
        <v>62</v>
      </c>
      <c r="H10" s="40" t="s">
        <v>63</v>
      </c>
      <c r="I10" s="40" t="s">
        <v>9</v>
      </c>
      <c r="J10" s="43" t="s">
        <v>57</v>
      </c>
      <c r="K10" s="40" t="s">
        <v>57</v>
      </c>
      <c r="L10" s="41" t="s">
        <v>57</v>
      </c>
    </row>
    <row r="11">
      <c r="A11" s="35" t="s">
        <v>1617</v>
      </c>
      <c r="B11" s="36" t="s">
        <v>1618</v>
      </c>
      <c r="C11" s="36" t="s">
        <v>1619</v>
      </c>
      <c r="D11" s="36" t="s">
        <v>1620</v>
      </c>
      <c r="E11" s="36" t="s">
        <v>1621</v>
      </c>
      <c r="F11" s="45" t="s">
        <v>72</v>
      </c>
      <c r="G11" s="35" t="s">
        <v>62</v>
      </c>
      <c r="H11" s="35" t="s">
        <v>63</v>
      </c>
      <c r="I11" s="35" t="s">
        <v>9</v>
      </c>
      <c r="J11" s="39" t="s">
        <v>57</v>
      </c>
      <c r="K11" s="35" t="s">
        <v>57</v>
      </c>
      <c r="L11" s="36" t="s">
        <v>57</v>
      </c>
    </row>
    <row r="12">
      <c r="A12" s="40" t="s">
        <v>1622</v>
      </c>
      <c r="B12" s="41" t="s">
        <v>1623</v>
      </c>
      <c r="C12" s="41" t="s">
        <v>1624</v>
      </c>
      <c r="D12" s="41" t="s">
        <v>1625</v>
      </c>
      <c r="E12" s="41" t="s">
        <v>1626</v>
      </c>
      <c r="F12" s="44" t="s">
        <v>72</v>
      </c>
      <c r="G12" s="40" t="s">
        <v>62</v>
      </c>
      <c r="H12" s="40" t="s">
        <v>56</v>
      </c>
      <c r="I12" s="40" t="s">
        <v>9</v>
      </c>
      <c r="J12" s="43" t="s">
        <v>57</v>
      </c>
      <c r="K12" s="40" t="s">
        <v>57</v>
      </c>
      <c r="L12" s="41" t="s">
        <v>57</v>
      </c>
    </row>
    <row r="13">
      <c r="A13" s="35" t="s">
        <v>1627</v>
      </c>
      <c r="B13" s="36" t="s">
        <v>1623</v>
      </c>
      <c r="C13" s="36" t="s">
        <v>1628</v>
      </c>
      <c r="D13" s="36" t="s">
        <v>1629</v>
      </c>
      <c r="E13" s="36" t="s">
        <v>1630</v>
      </c>
      <c r="F13" s="45" t="s">
        <v>72</v>
      </c>
      <c r="G13" s="35" t="s">
        <v>73</v>
      </c>
      <c r="H13" s="35" t="s">
        <v>63</v>
      </c>
      <c r="I13" s="35" t="s">
        <v>9</v>
      </c>
      <c r="J13" s="39" t="s">
        <v>57</v>
      </c>
      <c r="K13" s="35" t="s">
        <v>57</v>
      </c>
      <c r="L13" s="36" t="s">
        <v>57</v>
      </c>
    </row>
    <row r="14">
      <c r="A14" s="40" t="s">
        <v>1631</v>
      </c>
      <c r="B14" s="41" t="s">
        <v>1623</v>
      </c>
      <c r="C14" s="41" t="s">
        <v>1632</v>
      </c>
      <c r="D14" s="41" t="s">
        <v>1633</v>
      </c>
      <c r="E14" s="41" t="s">
        <v>1634</v>
      </c>
      <c r="F14" s="44" t="s">
        <v>72</v>
      </c>
      <c r="G14" s="40" t="s">
        <v>62</v>
      </c>
      <c r="H14" s="40" t="s">
        <v>56</v>
      </c>
      <c r="I14" s="40" t="s">
        <v>9</v>
      </c>
      <c r="J14" s="43" t="s">
        <v>57</v>
      </c>
      <c r="K14" s="40" t="s">
        <v>57</v>
      </c>
      <c r="L14" s="41" t="s">
        <v>57</v>
      </c>
    </row>
    <row r="15">
      <c r="A15" s="35" t="s">
        <v>1635</v>
      </c>
      <c r="B15" s="36" t="s">
        <v>1623</v>
      </c>
      <c r="C15" s="36" t="s">
        <v>1636</v>
      </c>
      <c r="D15" s="36" t="s">
        <v>1637</v>
      </c>
      <c r="E15" s="36" t="s">
        <v>1638</v>
      </c>
      <c r="F15" s="47" t="s">
        <v>99</v>
      </c>
      <c r="G15" s="35" t="s">
        <v>73</v>
      </c>
      <c r="H15" s="35" t="s">
        <v>56</v>
      </c>
      <c r="I15" s="35" t="s">
        <v>9</v>
      </c>
      <c r="J15" s="39" t="s">
        <v>57</v>
      </c>
      <c r="K15" s="35" t="s">
        <v>57</v>
      </c>
      <c r="L15" s="36" t="s">
        <v>57</v>
      </c>
    </row>
    <row r="16">
      <c r="A16" s="40" t="s">
        <v>1639</v>
      </c>
      <c r="B16" s="41" t="s">
        <v>1623</v>
      </c>
      <c r="C16" s="41" t="s">
        <v>1640</v>
      </c>
      <c r="D16" s="41" t="s">
        <v>1641</v>
      </c>
      <c r="E16" s="41" t="s">
        <v>1642</v>
      </c>
      <c r="F16" s="46" t="s">
        <v>99</v>
      </c>
      <c r="G16" s="40" t="s">
        <v>62</v>
      </c>
      <c r="H16" s="40" t="s">
        <v>56</v>
      </c>
      <c r="I16" s="40" t="s">
        <v>9</v>
      </c>
      <c r="J16" s="43" t="s">
        <v>57</v>
      </c>
      <c r="K16" s="40" t="s">
        <v>57</v>
      </c>
      <c r="L16" s="41" t="s">
        <v>57</v>
      </c>
    </row>
    <row r="17">
      <c r="A17" s="35" t="s">
        <v>1643</v>
      </c>
      <c r="B17" s="36" t="s">
        <v>1593</v>
      </c>
      <c r="C17" s="36" t="s">
        <v>1644</v>
      </c>
      <c r="D17" s="36" t="s">
        <v>1645</v>
      </c>
      <c r="E17" s="36" t="s">
        <v>1646</v>
      </c>
      <c r="F17" s="37" t="s">
        <v>5</v>
      </c>
      <c r="G17" s="35" t="s">
        <v>62</v>
      </c>
      <c r="H17" s="35" t="s">
        <v>63</v>
      </c>
      <c r="I17" s="35" t="s">
        <v>9</v>
      </c>
      <c r="J17" s="39" t="s">
        <v>57</v>
      </c>
      <c r="K17" s="35" t="s">
        <v>57</v>
      </c>
      <c r="L17" s="36" t="s">
        <v>57</v>
      </c>
    </row>
    <row r="18">
      <c r="A18" s="40" t="s">
        <v>1647</v>
      </c>
      <c r="B18" s="41" t="s">
        <v>1618</v>
      </c>
      <c r="C18" s="41" t="s">
        <v>1648</v>
      </c>
      <c r="D18" s="41" t="s">
        <v>1649</v>
      </c>
      <c r="E18" s="41" t="s">
        <v>1650</v>
      </c>
      <c r="F18" s="42" t="s">
        <v>5</v>
      </c>
      <c r="G18" s="40" t="s">
        <v>62</v>
      </c>
      <c r="H18" s="40" t="s">
        <v>56</v>
      </c>
      <c r="I18" s="40" t="s">
        <v>9</v>
      </c>
      <c r="J18" s="43" t="s">
        <v>57</v>
      </c>
      <c r="K18" s="40" t="s">
        <v>57</v>
      </c>
      <c r="L18" s="41" t="s">
        <v>57</v>
      </c>
    </row>
    <row r="19">
      <c r="A19" s="35" t="s">
        <v>1651</v>
      </c>
      <c r="B19" s="36" t="s">
        <v>1618</v>
      </c>
      <c r="C19" s="36" t="s">
        <v>1652</v>
      </c>
      <c r="D19" s="36" t="s">
        <v>1653</v>
      </c>
      <c r="E19" s="36" t="s">
        <v>1654</v>
      </c>
      <c r="F19" s="45" t="s">
        <v>72</v>
      </c>
      <c r="G19" s="35" t="s">
        <v>62</v>
      </c>
      <c r="H19" s="35" t="s">
        <v>591</v>
      </c>
      <c r="I19" s="35" t="s">
        <v>9</v>
      </c>
      <c r="J19" s="39" t="s">
        <v>57</v>
      </c>
      <c r="K19" s="35" t="s">
        <v>57</v>
      </c>
      <c r="L19" s="36" t="s">
        <v>57</v>
      </c>
    </row>
    <row r="20">
      <c r="A20" s="40" t="s">
        <v>1655</v>
      </c>
      <c r="B20" s="41" t="s">
        <v>1618</v>
      </c>
      <c r="C20" s="41" t="s">
        <v>1656</v>
      </c>
      <c r="D20" s="41" t="s">
        <v>1657</v>
      </c>
      <c r="E20" s="41" t="s">
        <v>1658</v>
      </c>
      <c r="F20" s="46" t="s">
        <v>99</v>
      </c>
      <c r="G20" s="40" t="s">
        <v>73</v>
      </c>
      <c r="H20" s="40" t="s">
        <v>56</v>
      </c>
      <c r="I20" s="40" t="s">
        <v>9</v>
      </c>
      <c r="J20" s="43" t="s">
        <v>57</v>
      </c>
      <c r="K20" s="40" t="s">
        <v>57</v>
      </c>
      <c r="L20" s="41" t="s">
        <v>57</v>
      </c>
    </row>
    <row r="21" ht="15.75" customHeight="1">
      <c r="A21" s="35" t="s">
        <v>1659</v>
      </c>
      <c r="B21" s="36" t="s">
        <v>1623</v>
      </c>
      <c r="C21" s="36" t="s">
        <v>1660</v>
      </c>
      <c r="D21" s="36" t="s">
        <v>1661</v>
      </c>
      <c r="E21" s="36" t="s">
        <v>1662</v>
      </c>
      <c r="F21" s="45" t="s">
        <v>72</v>
      </c>
      <c r="G21" s="35" t="s">
        <v>73</v>
      </c>
      <c r="H21" s="35" t="s">
        <v>63</v>
      </c>
      <c r="I21" s="35" t="s">
        <v>9</v>
      </c>
      <c r="J21" s="39" t="s">
        <v>57</v>
      </c>
      <c r="K21" s="35" t="s">
        <v>57</v>
      </c>
      <c r="L21" s="36" t="s">
        <v>57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21"/>
  <mergeCells count="2">
    <mergeCell ref="A1:L1"/>
    <mergeCell ref="A2:L2"/>
  </mergeCells>
  <conditionalFormatting sqref="I5:I21">
    <cfRule type="cellIs" dxfId="0" priority="1" operator="equal">
      <formula>"Pass"</formula>
    </cfRule>
  </conditionalFormatting>
  <conditionalFormatting sqref="I5:I21">
    <cfRule type="cellIs" dxfId="1" priority="2" operator="equal">
      <formula>"Fail"</formula>
    </cfRule>
  </conditionalFormatting>
  <conditionalFormatting sqref="I5:I21">
    <cfRule type="cellIs" dxfId="2" priority="3" operator="equal">
      <formula>"Blocked"</formula>
    </cfRule>
  </conditionalFormatting>
  <dataValidations>
    <dataValidation type="list" allowBlank="1" sqref="F5:F21">
      <formula1>"P1,P2,P3"</formula1>
    </dataValidation>
    <dataValidation type="list" allowBlank="1" sqref="H5:H21">
      <formula1>"Playwright,Manual,API"</formula1>
    </dataValidation>
    <dataValidation type="list" allowBlank="1" sqref="G5:G21">
      <formula1>"Smoke,Regression,Edge,Negative"</formula1>
    </dataValidation>
    <dataValidation type="list" allowBlank="1" sqref="I5:I21">
      <formula1>"Not Tested,Pass,Fail,Blocked,N/A"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2026-06-10T11:47:00Z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7EA009B1FE484B8088D5A8E92DBAE5BD_12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